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aver\Downloads\Telegram Desktop\"/>
    </mc:Choice>
  </mc:AlternateContent>
  <xr:revisionPtr revIDLastSave="0" documentId="13_ncr:1_{B279ADB6-8CA0-4677-A712-7831D24E1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февраль" sheetId="2" r:id="rId1"/>
    <sheet name="январь" sheetId="1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definedNames>
    <definedName name="_xlnm._FilterDatabase" localSheetId="1" hidden="1">январь!$A$2:$V$98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" l="1"/>
  <c r="H43" i="3" l="1"/>
  <c r="G48" i="3"/>
  <c r="P28" i="3"/>
  <c r="G103" i="3"/>
  <c r="H103" i="3" l="1"/>
  <c r="H54" i="3" s="1"/>
  <c r="H55" i="3" s="1"/>
  <c r="M16" i="3" s="1"/>
  <c r="I103" i="3"/>
  <c r="I54" i="3" s="1"/>
  <c r="I55" i="3" s="1"/>
  <c r="M17" i="3" s="1"/>
  <c r="J103" i="3"/>
  <c r="J54" i="3" s="1"/>
  <c r="J55" i="3" s="1"/>
  <c r="M18" i="3" s="1"/>
  <c r="K103" i="3"/>
  <c r="K54" i="3" s="1"/>
  <c r="K55" i="3" s="1"/>
  <c r="M27" i="3" s="1"/>
  <c r="L103" i="3"/>
  <c r="L54" i="3" s="1"/>
  <c r="L55" i="3" s="1"/>
  <c r="M19" i="3" s="1"/>
  <c r="M103" i="3"/>
  <c r="M54" i="3" s="1"/>
  <c r="M55" i="3" s="1"/>
  <c r="M23" i="3" s="1"/>
  <c r="N103" i="3"/>
  <c r="O103" i="3"/>
  <c r="O54" i="3" s="1"/>
  <c r="O55" i="3" s="1"/>
  <c r="M24" i="3" s="1"/>
  <c r="P103" i="3"/>
  <c r="P54" i="3" s="1"/>
  <c r="P55" i="3" s="1"/>
  <c r="M25" i="3" s="1"/>
  <c r="Q103" i="3"/>
  <c r="Q54" i="3" s="1"/>
  <c r="Q55" i="3" s="1"/>
  <c r="M20" i="3" s="1"/>
  <c r="R103" i="3"/>
  <c r="R54" i="3" s="1"/>
  <c r="R55" i="3" s="1"/>
  <c r="M26" i="3" s="1"/>
  <c r="S103" i="3"/>
  <c r="S54" i="3" s="1"/>
  <c r="S55" i="3" s="1"/>
  <c r="M21" i="3" s="1"/>
  <c r="T103" i="3"/>
  <c r="T54" i="3" s="1"/>
  <c r="T55" i="3" s="1"/>
  <c r="G54" i="3"/>
  <c r="G55" i="3" s="1"/>
  <c r="M6" i="3" s="1"/>
  <c r="H15" i="3"/>
  <c r="H16" i="3"/>
  <c r="H18" i="3"/>
  <c r="H19" i="3"/>
  <c r="H20" i="3"/>
  <c r="H21" i="3"/>
  <c r="H22" i="3"/>
  <c r="H23" i="3"/>
  <c r="H24" i="3"/>
  <c r="H25" i="3"/>
  <c r="H26" i="3"/>
  <c r="H28" i="3"/>
  <c r="H29" i="3"/>
  <c r="H30" i="3"/>
  <c r="H31" i="3"/>
  <c r="H32" i="3"/>
  <c r="H33" i="3"/>
  <c r="N54" i="3"/>
  <c r="N55" i="3" s="1"/>
  <c r="M22" i="3" s="1"/>
  <c r="T61" i="3"/>
  <c r="S61" i="3"/>
  <c r="O21" i="3" s="1"/>
  <c r="R61" i="3"/>
  <c r="O26" i="3" s="1"/>
  <c r="Q61" i="3"/>
  <c r="O20" i="3" s="1"/>
  <c r="P61" i="3"/>
  <c r="O25" i="3" s="1"/>
  <c r="O61" i="3"/>
  <c r="O24" i="3" s="1"/>
  <c r="N61" i="3"/>
  <c r="O22" i="3" s="1"/>
  <c r="M61" i="3"/>
  <c r="O23" i="3" s="1"/>
  <c r="L61" i="3"/>
  <c r="O19" i="3" s="1"/>
  <c r="K61" i="3"/>
  <c r="O27" i="3" s="1"/>
  <c r="J61" i="3"/>
  <c r="O18" i="3" s="1"/>
  <c r="I61" i="3"/>
  <c r="O17" i="3" s="1"/>
  <c r="H61" i="3"/>
  <c r="O16" i="3" s="1"/>
  <c r="G61" i="3"/>
  <c r="O6" i="3" s="1"/>
  <c r="T58" i="3"/>
  <c r="S58" i="3"/>
  <c r="N21" i="3" s="1"/>
  <c r="R58" i="3"/>
  <c r="Q58" i="3"/>
  <c r="N20" i="3" s="1"/>
  <c r="P58" i="3"/>
  <c r="N25" i="3" s="1"/>
  <c r="O58" i="3"/>
  <c r="N24" i="3" s="1"/>
  <c r="N58" i="3"/>
  <c r="N22" i="3" s="1"/>
  <c r="M58" i="3"/>
  <c r="N23" i="3" s="1"/>
  <c r="L58" i="3"/>
  <c r="N19" i="3" s="1"/>
  <c r="K58" i="3"/>
  <c r="N27" i="3" s="1"/>
  <c r="J58" i="3"/>
  <c r="N18" i="3" s="1"/>
  <c r="I58" i="3"/>
  <c r="N17" i="3" s="1"/>
  <c r="H58" i="3"/>
  <c r="N16" i="3" s="1"/>
  <c r="G58" i="3"/>
  <c r="N6" i="3" s="1"/>
  <c r="T53" i="3"/>
  <c r="S53" i="3"/>
  <c r="K21" i="3" s="1"/>
  <c r="R53" i="3"/>
  <c r="K26" i="3" s="1"/>
  <c r="Q53" i="3"/>
  <c r="K20" i="3" s="1"/>
  <c r="P53" i="3"/>
  <c r="K25" i="3" s="1"/>
  <c r="O53" i="3"/>
  <c r="K24" i="3" s="1"/>
  <c r="N53" i="3"/>
  <c r="K22" i="3" s="1"/>
  <c r="M53" i="3"/>
  <c r="K23" i="3" s="1"/>
  <c r="L53" i="3"/>
  <c r="K19" i="3" s="1"/>
  <c r="K53" i="3"/>
  <c r="K27" i="3" s="1"/>
  <c r="J53" i="3"/>
  <c r="K18" i="3" s="1"/>
  <c r="I53" i="3"/>
  <c r="K17" i="3" s="1"/>
  <c r="H53" i="3"/>
  <c r="K16" i="3" s="1"/>
  <c r="G53" i="3"/>
  <c r="K6" i="3" s="1"/>
  <c r="T50" i="3"/>
  <c r="S50" i="3"/>
  <c r="J21" i="3" s="1"/>
  <c r="R50" i="3"/>
  <c r="J26" i="3" s="1"/>
  <c r="Q50" i="3"/>
  <c r="J20" i="3" s="1"/>
  <c r="P50" i="3"/>
  <c r="J25" i="3" s="1"/>
  <c r="O50" i="3"/>
  <c r="J24" i="3" s="1"/>
  <c r="N50" i="3"/>
  <c r="J22" i="3" s="1"/>
  <c r="M50" i="3"/>
  <c r="J23" i="3" s="1"/>
  <c r="L50" i="3"/>
  <c r="J19" i="3" s="1"/>
  <c r="K50" i="3"/>
  <c r="J27" i="3" s="1"/>
  <c r="J50" i="3"/>
  <c r="J18" i="3" s="1"/>
  <c r="I50" i="3"/>
  <c r="J17" i="3" s="1"/>
  <c r="H50" i="3"/>
  <c r="J16" i="3" s="1"/>
  <c r="G50" i="3"/>
  <c r="J6" i="3" s="1"/>
  <c r="T42" i="3"/>
  <c r="S42" i="3"/>
  <c r="I21" i="3" s="1"/>
  <c r="R42" i="3"/>
  <c r="I26" i="3" s="1"/>
  <c r="Q42" i="3"/>
  <c r="I20" i="3" s="1"/>
  <c r="P42" i="3"/>
  <c r="I25" i="3" s="1"/>
  <c r="O42" i="3"/>
  <c r="I24" i="3" s="1"/>
  <c r="N42" i="3"/>
  <c r="I22" i="3" s="1"/>
  <c r="M42" i="3"/>
  <c r="I23" i="3" s="1"/>
  <c r="L42" i="3"/>
  <c r="I19" i="3" s="1"/>
  <c r="K42" i="3"/>
  <c r="I27" i="3" s="1"/>
  <c r="J42" i="3"/>
  <c r="I18" i="3" s="1"/>
  <c r="I42" i="3"/>
  <c r="I17" i="3" s="1"/>
  <c r="H42" i="3"/>
  <c r="I16" i="3" s="1"/>
  <c r="G42" i="3"/>
  <c r="I6" i="3" s="1"/>
  <c r="R33" i="3"/>
  <c r="P33" i="3"/>
  <c r="L33" i="3"/>
  <c r="R32" i="3"/>
  <c r="P32" i="3"/>
  <c r="L32" i="3"/>
  <c r="R31" i="3"/>
  <c r="P31" i="3"/>
  <c r="L31" i="3"/>
  <c r="R30" i="3"/>
  <c r="P30" i="3"/>
  <c r="L30" i="3"/>
  <c r="R29" i="3"/>
  <c r="P29" i="3"/>
  <c r="L29" i="3"/>
  <c r="R28" i="3"/>
  <c r="L28" i="3"/>
  <c r="N26" i="3"/>
  <c r="R15" i="3"/>
  <c r="P15" i="3"/>
  <c r="L15" i="3"/>
  <c r="L14" i="3"/>
  <c r="L13" i="3"/>
  <c r="L12" i="3"/>
  <c r="L11" i="3"/>
  <c r="L10" i="3"/>
  <c r="L9" i="3"/>
  <c r="L8" i="3"/>
  <c r="L7" i="3"/>
  <c r="T79" i="2"/>
  <c r="Q28" i="3" l="1"/>
  <c r="L27" i="3"/>
  <c r="R27" i="3"/>
  <c r="P27" i="3"/>
  <c r="Q15" i="3"/>
  <c r="L24" i="3"/>
  <c r="L17" i="3"/>
  <c r="Q30" i="3"/>
  <c r="Q32" i="3"/>
  <c r="L18" i="3"/>
  <c r="L22" i="3"/>
  <c r="L19" i="3"/>
  <c r="L25" i="3"/>
  <c r="L20" i="3"/>
  <c r="Q29" i="3"/>
  <c r="Q31" i="3"/>
  <c r="L23" i="3"/>
  <c r="L26" i="3"/>
  <c r="L21" i="3"/>
  <c r="L6" i="3"/>
  <c r="L16" i="3"/>
  <c r="P18" i="3"/>
  <c r="Q18" i="3" s="1"/>
  <c r="R18" i="3"/>
  <c r="R17" i="3"/>
  <c r="P17" i="3"/>
  <c r="P25" i="3"/>
  <c r="R25" i="3"/>
  <c r="R24" i="3"/>
  <c r="P24" i="3"/>
  <c r="Q24" i="3" s="1"/>
  <c r="R20" i="3"/>
  <c r="P20" i="3"/>
  <c r="R23" i="3"/>
  <c r="P23" i="3"/>
  <c r="R22" i="3"/>
  <c r="P22" i="3"/>
  <c r="R16" i="3"/>
  <c r="P16" i="3"/>
  <c r="R19" i="3"/>
  <c r="P19" i="3"/>
  <c r="P26" i="3"/>
  <c r="R26" i="3"/>
  <c r="R6" i="3"/>
  <c r="P6" i="3"/>
  <c r="R21" i="3"/>
  <c r="P21" i="3"/>
  <c r="G94" i="2"/>
  <c r="G52" i="2" s="1"/>
  <c r="G53" i="2" s="1"/>
  <c r="M6" i="2" s="1"/>
  <c r="H15" i="2"/>
  <c r="H16" i="2"/>
  <c r="H17" i="2"/>
  <c r="H19" i="2"/>
  <c r="H20" i="2"/>
  <c r="H21" i="2"/>
  <c r="H22" i="2"/>
  <c r="H23" i="2"/>
  <c r="H24" i="2"/>
  <c r="H25" i="2"/>
  <c r="H26" i="2"/>
  <c r="H27" i="2"/>
  <c r="H28" i="2"/>
  <c r="H29" i="2"/>
  <c r="H30" i="2"/>
  <c r="Q30" i="2" s="1"/>
  <c r="H31" i="2"/>
  <c r="H32" i="2"/>
  <c r="T94" i="2"/>
  <c r="T52" i="2" s="1"/>
  <c r="T53" i="2" s="1"/>
  <c r="S94" i="2"/>
  <c r="R94" i="2"/>
  <c r="Q94" i="2"/>
  <c r="P94" i="2"/>
  <c r="P52" i="2" s="1"/>
  <c r="P53" i="2" s="1"/>
  <c r="M25" i="2" s="1"/>
  <c r="N94" i="2"/>
  <c r="N52" i="2" s="1"/>
  <c r="N53" i="2" s="1"/>
  <c r="M22" i="2" s="1"/>
  <c r="L94" i="2"/>
  <c r="K94" i="2"/>
  <c r="J94" i="2"/>
  <c r="J52" i="2" s="1"/>
  <c r="J53" i="2" s="1"/>
  <c r="M18" i="2" s="1"/>
  <c r="I94" i="2"/>
  <c r="I52" i="2" s="1"/>
  <c r="I53" i="2" s="1"/>
  <c r="M17" i="2" s="1"/>
  <c r="H94" i="2"/>
  <c r="H52" i="2" s="1"/>
  <c r="H53" i="2" s="1"/>
  <c r="M16" i="2" s="1"/>
  <c r="O94" i="2"/>
  <c r="O52" i="2" s="1"/>
  <c r="O53" i="2" s="1"/>
  <c r="M24" i="2" s="1"/>
  <c r="M94" i="2"/>
  <c r="M52" i="2" s="1"/>
  <c r="M53" i="2" s="1"/>
  <c r="M23" i="2" s="1"/>
  <c r="T59" i="2"/>
  <c r="S59" i="2"/>
  <c r="R59" i="2"/>
  <c r="Q59" i="2"/>
  <c r="P59" i="2"/>
  <c r="O59" i="2"/>
  <c r="O24" i="2" s="1"/>
  <c r="N59" i="2"/>
  <c r="O22" i="2" s="1"/>
  <c r="M59" i="2"/>
  <c r="L59" i="2"/>
  <c r="O19" i="2" s="1"/>
  <c r="K59" i="2"/>
  <c r="J59" i="2"/>
  <c r="I59" i="2"/>
  <c r="O17" i="2" s="1"/>
  <c r="H59" i="2"/>
  <c r="G59" i="2"/>
  <c r="O6" i="2" s="1"/>
  <c r="T56" i="2"/>
  <c r="S56" i="2"/>
  <c r="R56" i="2"/>
  <c r="Q56" i="2"/>
  <c r="P56" i="2"/>
  <c r="O56" i="2"/>
  <c r="N24" i="2" s="1"/>
  <c r="N56" i="2"/>
  <c r="M56" i="2"/>
  <c r="L56" i="2"/>
  <c r="K56" i="2"/>
  <c r="J56" i="2"/>
  <c r="I56" i="2"/>
  <c r="H56" i="2"/>
  <c r="G56" i="2"/>
  <c r="N6" i="2" s="1"/>
  <c r="K53" i="2"/>
  <c r="S52" i="2"/>
  <c r="S53" i="2" s="1"/>
  <c r="M21" i="2" s="1"/>
  <c r="R52" i="2"/>
  <c r="R53" i="2" s="1"/>
  <c r="M26" i="2" s="1"/>
  <c r="Q52" i="2"/>
  <c r="Q53" i="2" s="1"/>
  <c r="M20" i="2" s="1"/>
  <c r="L52" i="2"/>
  <c r="L53" i="2" s="1"/>
  <c r="M19" i="2" s="1"/>
  <c r="K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K16" i="2" s="1"/>
  <c r="G51" i="2"/>
  <c r="T48" i="2"/>
  <c r="S48" i="2"/>
  <c r="J21" i="2" s="1"/>
  <c r="L21" i="2" s="1"/>
  <c r="R48" i="2"/>
  <c r="Q48" i="2"/>
  <c r="P48" i="2"/>
  <c r="O48" i="2"/>
  <c r="N48" i="2"/>
  <c r="M48" i="2"/>
  <c r="L48" i="2"/>
  <c r="K48" i="2"/>
  <c r="J48" i="2"/>
  <c r="I48" i="2"/>
  <c r="H48" i="2"/>
  <c r="J16" i="2" s="1"/>
  <c r="G48" i="2"/>
  <c r="J6" i="2" s="1"/>
  <c r="T41" i="2"/>
  <c r="S41" i="2"/>
  <c r="R41" i="2"/>
  <c r="I26" i="2" s="1"/>
  <c r="L26" i="2" s="1"/>
  <c r="Q41" i="2"/>
  <c r="P41" i="2"/>
  <c r="O41" i="2"/>
  <c r="I24" i="2" s="1"/>
  <c r="L24" i="2" s="1"/>
  <c r="N41" i="2"/>
  <c r="I22" i="2" s="1"/>
  <c r="L22" i="2" s="1"/>
  <c r="M41" i="2"/>
  <c r="I23" i="2" s="1"/>
  <c r="L23" i="2" s="1"/>
  <c r="L41" i="2"/>
  <c r="I19" i="2" s="1"/>
  <c r="L19" i="2" s="1"/>
  <c r="K41" i="2"/>
  <c r="J41" i="2"/>
  <c r="I18" i="2" s="1"/>
  <c r="L18" i="2" s="1"/>
  <c r="I41" i="2"/>
  <c r="I17" i="2" s="1"/>
  <c r="L17" i="2" s="1"/>
  <c r="H41" i="2"/>
  <c r="I16" i="2" s="1"/>
  <c r="G41" i="2"/>
  <c r="R32" i="2"/>
  <c r="P32" i="2"/>
  <c r="L32" i="2"/>
  <c r="R31" i="2"/>
  <c r="P31" i="2"/>
  <c r="L31" i="2"/>
  <c r="R30" i="2"/>
  <c r="P30" i="2"/>
  <c r="L30" i="2"/>
  <c r="R29" i="2"/>
  <c r="P29" i="2"/>
  <c r="L29" i="2"/>
  <c r="R28" i="2"/>
  <c r="P28" i="2"/>
  <c r="L28" i="2"/>
  <c r="R27" i="2"/>
  <c r="Q27" i="2"/>
  <c r="P27" i="2"/>
  <c r="L27" i="2"/>
  <c r="O26" i="2"/>
  <c r="N26" i="2"/>
  <c r="K26" i="2"/>
  <c r="J26" i="2"/>
  <c r="O25" i="2"/>
  <c r="N25" i="2"/>
  <c r="K25" i="2"/>
  <c r="J25" i="2"/>
  <c r="I25" i="2"/>
  <c r="L25" i="2" s="1"/>
  <c r="K24" i="2"/>
  <c r="J24" i="2"/>
  <c r="O23" i="2"/>
  <c r="N23" i="2"/>
  <c r="K23" i="2"/>
  <c r="J23" i="2"/>
  <c r="N22" i="2"/>
  <c r="K22" i="2"/>
  <c r="J22" i="2"/>
  <c r="O21" i="2"/>
  <c r="N21" i="2"/>
  <c r="K21" i="2"/>
  <c r="I21" i="2"/>
  <c r="O20" i="2"/>
  <c r="N20" i="2"/>
  <c r="K20" i="2"/>
  <c r="J20" i="2"/>
  <c r="I20" i="2"/>
  <c r="L20" i="2" s="1"/>
  <c r="N19" i="2"/>
  <c r="K19" i="2"/>
  <c r="J19" i="2"/>
  <c r="O18" i="2"/>
  <c r="N18" i="2"/>
  <c r="K18" i="2"/>
  <c r="J18" i="2"/>
  <c r="N17" i="2"/>
  <c r="K17" i="2"/>
  <c r="J17" i="2"/>
  <c r="O16" i="2"/>
  <c r="N16" i="2"/>
  <c r="R15" i="2"/>
  <c r="P15" i="2"/>
  <c r="L15" i="2"/>
  <c r="L14" i="2"/>
  <c r="L13" i="2"/>
  <c r="L12" i="2"/>
  <c r="L11" i="2"/>
  <c r="L10" i="2"/>
  <c r="L9" i="2"/>
  <c r="L8" i="2"/>
  <c r="L7" i="2"/>
  <c r="K6" i="2"/>
  <c r="O82" i="1"/>
  <c r="O69" i="1"/>
  <c r="O94" i="1" s="1"/>
  <c r="G94" i="1"/>
  <c r="H94" i="1"/>
  <c r="I94" i="1"/>
  <c r="J94" i="1"/>
  <c r="K94" i="1"/>
  <c r="L94" i="1"/>
  <c r="N94" i="1"/>
  <c r="P94" i="1"/>
  <c r="Q94" i="1"/>
  <c r="R94" i="1"/>
  <c r="S94" i="1"/>
  <c r="T94" i="1"/>
  <c r="Q27" i="3" l="1"/>
  <c r="Q17" i="3"/>
  <c r="Q23" i="3"/>
  <c r="Q25" i="3"/>
  <c r="Q19" i="3"/>
  <c r="Q20" i="3"/>
  <c r="Q26" i="3"/>
  <c r="Q22" i="3"/>
  <c r="Q16" i="3"/>
  <c r="Q21" i="3"/>
  <c r="Q6" i="3"/>
  <c r="Q29" i="2"/>
  <c r="Q28" i="2"/>
  <c r="Q31" i="2"/>
  <c r="L16" i="2"/>
  <c r="L6" i="2"/>
  <c r="Q15" i="2"/>
  <c r="R16" i="2"/>
  <c r="P16" i="2"/>
  <c r="Q16" i="2" s="1"/>
  <c r="R19" i="2"/>
  <c r="P19" i="2"/>
  <c r="R26" i="2"/>
  <c r="P26" i="2"/>
  <c r="R20" i="2"/>
  <c r="P20" i="2"/>
  <c r="Q20" i="2" s="1"/>
  <c r="P21" i="2"/>
  <c r="R21" i="2"/>
  <c r="R18" i="2"/>
  <c r="P18" i="2"/>
  <c r="Q18" i="2" s="1"/>
  <c r="R22" i="2"/>
  <c r="P22" i="2"/>
  <c r="Q22" i="2" s="1"/>
  <c r="R25" i="2"/>
  <c r="P25" i="2"/>
  <c r="Q25" i="2" s="1"/>
  <c r="Q19" i="2"/>
  <c r="Q21" i="2"/>
  <c r="R6" i="2"/>
  <c r="P6" i="2"/>
  <c r="R23" i="2"/>
  <c r="P23" i="2"/>
  <c r="Q23" i="2" s="1"/>
  <c r="R17" i="2"/>
  <c r="P17" i="2"/>
  <c r="Q17" i="2" s="1"/>
  <c r="R24" i="2"/>
  <c r="P24" i="2"/>
  <c r="Q24" i="2" s="1"/>
  <c r="Q26" i="2"/>
  <c r="R28" i="1"/>
  <c r="R29" i="1"/>
  <c r="R30" i="1"/>
  <c r="R31" i="1"/>
  <c r="R32" i="1"/>
  <c r="R15" i="1"/>
  <c r="H52" i="1"/>
  <c r="H53" i="1" s="1"/>
  <c r="M16" i="1" s="1"/>
  <c r="I52" i="1"/>
  <c r="I53" i="1" s="1"/>
  <c r="M17" i="1" s="1"/>
  <c r="J52" i="1"/>
  <c r="J53" i="1" s="1"/>
  <c r="K52" i="1"/>
  <c r="K53" i="1" s="1"/>
  <c r="L52" i="1"/>
  <c r="L53" i="1" s="1"/>
  <c r="M19" i="1" s="1"/>
  <c r="N52" i="1"/>
  <c r="N53" i="1" s="1"/>
  <c r="M22" i="1" s="1"/>
  <c r="O52" i="1"/>
  <c r="P52" i="1"/>
  <c r="P53" i="1" s="1"/>
  <c r="M25" i="1" s="1"/>
  <c r="R25" i="1" s="1"/>
  <c r="Q52" i="1"/>
  <c r="Q53" i="1" s="1"/>
  <c r="M20" i="1" s="1"/>
  <c r="R52" i="1"/>
  <c r="R53" i="1" s="1"/>
  <c r="M26" i="1" s="1"/>
  <c r="R26" i="1" s="1"/>
  <c r="S52" i="1"/>
  <c r="S53" i="1" s="1"/>
  <c r="M21" i="1" s="1"/>
  <c r="R21" i="1" s="1"/>
  <c r="T52" i="1"/>
  <c r="T53" i="1" s="1"/>
  <c r="G52" i="1"/>
  <c r="H59" i="1"/>
  <c r="O16" i="1" s="1"/>
  <c r="I59" i="1"/>
  <c r="O17" i="1" s="1"/>
  <c r="J59" i="1"/>
  <c r="O18" i="1" s="1"/>
  <c r="K59" i="1"/>
  <c r="L59" i="1"/>
  <c r="O19" i="1" s="1"/>
  <c r="M59" i="1"/>
  <c r="O23" i="1" s="1"/>
  <c r="N59" i="1"/>
  <c r="O22" i="1" s="1"/>
  <c r="O59" i="1"/>
  <c r="O24" i="1" s="1"/>
  <c r="P59" i="1"/>
  <c r="O25" i="1" s="1"/>
  <c r="Q59" i="1"/>
  <c r="O20" i="1" s="1"/>
  <c r="R59" i="1"/>
  <c r="O26" i="1" s="1"/>
  <c r="S59" i="1"/>
  <c r="O21" i="1" s="1"/>
  <c r="T59" i="1"/>
  <c r="G59" i="1"/>
  <c r="O6" i="1" s="1"/>
  <c r="H56" i="1"/>
  <c r="N16" i="1" s="1"/>
  <c r="I56" i="1"/>
  <c r="N17" i="1" s="1"/>
  <c r="J56" i="1"/>
  <c r="N18" i="1" s="1"/>
  <c r="K56" i="1"/>
  <c r="L56" i="1"/>
  <c r="N19" i="1" s="1"/>
  <c r="M56" i="1"/>
  <c r="N23" i="1" s="1"/>
  <c r="N56" i="1"/>
  <c r="N22" i="1" s="1"/>
  <c r="O56" i="1"/>
  <c r="N24" i="1" s="1"/>
  <c r="P56" i="1"/>
  <c r="N25" i="1" s="1"/>
  <c r="Q56" i="1"/>
  <c r="N20" i="1" s="1"/>
  <c r="R56" i="1"/>
  <c r="N26" i="1" s="1"/>
  <c r="S56" i="1"/>
  <c r="N21" i="1" s="1"/>
  <c r="T56" i="1"/>
  <c r="G56" i="1"/>
  <c r="N6" i="1" s="1"/>
  <c r="H51" i="1"/>
  <c r="K16" i="1" s="1"/>
  <c r="I51" i="1"/>
  <c r="K17" i="1" s="1"/>
  <c r="J51" i="1"/>
  <c r="K18" i="1" s="1"/>
  <c r="K51" i="1"/>
  <c r="L51" i="1"/>
  <c r="K19" i="1" s="1"/>
  <c r="M51" i="1"/>
  <c r="K23" i="1" s="1"/>
  <c r="N51" i="1"/>
  <c r="K22" i="1" s="1"/>
  <c r="O51" i="1"/>
  <c r="K24" i="1" s="1"/>
  <c r="P51" i="1"/>
  <c r="K25" i="1" s="1"/>
  <c r="Q51" i="1"/>
  <c r="K20" i="1" s="1"/>
  <c r="R51" i="1"/>
  <c r="K26" i="1" s="1"/>
  <c r="S51" i="1"/>
  <c r="K21" i="1" s="1"/>
  <c r="T51" i="1"/>
  <c r="G51" i="1"/>
  <c r="K6" i="1" s="1"/>
  <c r="H48" i="1"/>
  <c r="J16" i="1" s="1"/>
  <c r="I48" i="1"/>
  <c r="J17" i="1" s="1"/>
  <c r="J48" i="1"/>
  <c r="J18" i="1" s="1"/>
  <c r="K48" i="1"/>
  <c r="L48" i="1"/>
  <c r="J19" i="1" s="1"/>
  <c r="M48" i="1"/>
  <c r="J23" i="1" s="1"/>
  <c r="N48" i="1"/>
  <c r="J22" i="1" s="1"/>
  <c r="O48" i="1"/>
  <c r="J24" i="1" s="1"/>
  <c r="P48" i="1"/>
  <c r="J25" i="1" s="1"/>
  <c r="Q48" i="1"/>
  <c r="J20" i="1" s="1"/>
  <c r="R48" i="1"/>
  <c r="J26" i="1" s="1"/>
  <c r="S48" i="1"/>
  <c r="J21" i="1" s="1"/>
  <c r="T48" i="1"/>
  <c r="H41" i="1"/>
  <c r="I16" i="1" s="1"/>
  <c r="I41" i="1"/>
  <c r="I17" i="1" s="1"/>
  <c r="J41" i="1"/>
  <c r="I18" i="1" s="1"/>
  <c r="K41" i="1"/>
  <c r="L41" i="1"/>
  <c r="I19" i="1" s="1"/>
  <c r="M41" i="1"/>
  <c r="I23" i="1" s="1"/>
  <c r="L23" i="1" s="1"/>
  <c r="N41" i="1"/>
  <c r="I22" i="1" s="1"/>
  <c r="O41" i="1"/>
  <c r="I24" i="1" s="1"/>
  <c r="P41" i="1"/>
  <c r="I25" i="1" s="1"/>
  <c r="Q41" i="1"/>
  <c r="I20" i="1" s="1"/>
  <c r="R41" i="1"/>
  <c r="I26" i="1" s="1"/>
  <c r="S41" i="1"/>
  <c r="I21" i="1" s="1"/>
  <c r="T41" i="1"/>
  <c r="G41" i="1"/>
  <c r="I6" i="1" s="1"/>
  <c r="P15" i="1"/>
  <c r="P28" i="1"/>
  <c r="P29" i="1"/>
  <c r="P30" i="1"/>
  <c r="P31" i="1"/>
  <c r="P32" i="1"/>
  <c r="L32" i="1"/>
  <c r="L28" i="1"/>
  <c r="L29" i="1"/>
  <c r="L30" i="1"/>
  <c r="L31" i="1"/>
  <c r="L27" i="1"/>
  <c r="L7" i="1"/>
  <c r="L8" i="1"/>
  <c r="L9" i="1"/>
  <c r="L10" i="1"/>
  <c r="L11" i="1"/>
  <c r="L12" i="1"/>
  <c r="L13" i="1"/>
  <c r="L14" i="1"/>
  <c r="L15" i="1"/>
  <c r="Q6" i="2" l="1"/>
  <c r="R22" i="1"/>
  <c r="L24" i="1"/>
  <c r="Q29" i="1"/>
  <c r="L25" i="1"/>
  <c r="L20" i="1"/>
  <c r="L21" i="1"/>
  <c r="L17" i="1"/>
  <c r="L18" i="1"/>
  <c r="L26" i="1"/>
  <c r="L22" i="1"/>
  <c r="P20" i="1"/>
  <c r="R20" i="1"/>
  <c r="R17" i="1"/>
  <c r="P17" i="1"/>
  <c r="R16" i="1"/>
  <c r="P16" i="1"/>
  <c r="P21" i="1"/>
  <c r="P26" i="1"/>
  <c r="P25" i="1"/>
  <c r="L16" i="1"/>
  <c r="Q28" i="1"/>
  <c r="Q31" i="1"/>
  <c r="Q30" i="1"/>
  <c r="Q15" i="1"/>
  <c r="Q25" i="1" l="1"/>
  <c r="Q21" i="1"/>
  <c r="Q26" i="1"/>
  <c r="Q20" i="1"/>
  <c r="L19" i="1"/>
  <c r="Q17" i="1"/>
  <c r="Q16" i="1"/>
  <c r="O53" i="1" l="1"/>
  <c r="M24" i="1" s="1"/>
  <c r="M18" i="1"/>
  <c r="G44" i="1"/>
  <c r="G46" i="1"/>
  <c r="G42" i="1"/>
  <c r="M63" i="1"/>
  <c r="M94" i="1" s="1"/>
  <c r="G53" i="1"/>
  <c r="M6" i="1" s="1"/>
  <c r="R6" i="1" s="1"/>
  <c r="R24" i="1" l="1"/>
  <c r="P24" i="1"/>
  <c r="Q24" i="1" s="1"/>
  <c r="G48" i="1"/>
  <c r="J6" i="1" s="1"/>
  <c r="L6" i="1" s="1"/>
  <c r="R18" i="1"/>
  <c r="P18" i="1"/>
  <c r="Q18" i="1" s="1"/>
  <c r="P6" i="1"/>
  <c r="M52" i="1" l="1"/>
  <c r="M53" i="1" s="1"/>
  <c r="M23" i="1" s="1"/>
  <c r="Q6" i="1"/>
  <c r="R19" i="1"/>
  <c r="P19" i="1"/>
  <c r="Q19" i="1" s="1"/>
  <c r="P22" i="1"/>
  <c r="Q22" i="1" s="1"/>
  <c r="R23" i="1" l="1"/>
  <c r="P23" i="1"/>
  <c r="Q23" i="1" s="1"/>
  <c r="P27" i="1" l="1"/>
  <c r="Q27" i="1" s="1"/>
  <c r="R27" i="1"/>
  <c r="Q11" i="3"/>
  <c r="H11" i="3"/>
  <c r="Q11" i="2"/>
  <c r="H11" i="2"/>
  <c r="Q11" i="1"/>
  <c r="P11" i="1"/>
  <c r="M11" i="1"/>
  <c r="R11" i="1"/>
  <c r="Q7" i="3"/>
  <c r="H7" i="3"/>
  <c r="Q7" i="2"/>
  <c r="H7" i="2"/>
  <c r="Q7" i="1"/>
  <c r="P7" i="1"/>
  <c r="M7" i="1"/>
  <c r="R7" i="1"/>
  <c r="P12" i="3"/>
  <c r="M12" i="3"/>
  <c r="R12" i="3"/>
  <c r="R10" i="2"/>
  <c r="M10" i="2"/>
  <c r="P10" i="2"/>
  <c r="R12" i="2"/>
  <c r="M12" i="2"/>
  <c r="P12" i="2"/>
  <c r="R13" i="3"/>
  <c r="M13" i="3"/>
  <c r="P13" i="3"/>
  <c r="R13" i="2"/>
  <c r="M13" i="2"/>
  <c r="P13" i="2"/>
  <c r="R14" i="1"/>
  <c r="M14" i="1"/>
  <c r="P14" i="1"/>
  <c r="Q14" i="1"/>
  <c r="H14" i="2"/>
  <c r="Q14" i="2"/>
  <c r="H14" i="3"/>
  <c r="Q14" i="3"/>
  <c r="R10" i="1"/>
  <c r="M10" i="1"/>
  <c r="P10" i="1"/>
  <c r="Q10" i="1"/>
  <c r="H10" i="2"/>
  <c r="Q10" i="2"/>
  <c r="H10" i="3"/>
  <c r="Q10" i="3"/>
  <c r="R13" i="1"/>
  <c r="M13" i="1"/>
  <c r="P13" i="1"/>
  <c r="Q13" i="1"/>
  <c r="H13" i="2"/>
  <c r="Q13" i="2"/>
  <c r="H13" i="3"/>
  <c r="Q13" i="3"/>
  <c r="R8" i="1"/>
  <c r="M8" i="1"/>
  <c r="P8" i="1"/>
  <c r="Q8" i="1"/>
  <c r="H8" i="2"/>
  <c r="Q8" i="2"/>
  <c r="H8" i="3"/>
  <c r="Q8" i="3"/>
  <c r="R11" i="3"/>
  <c r="M11" i="3"/>
  <c r="P11" i="3"/>
  <c r="R8" i="3"/>
  <c r="M8" i="3"/>
  <c r="P8" i="3"/>
  <c r="R14" i="3"/>
  <c r="M14" i="3"/>
  <c r="P14" i="3"/>
  <c r="R7" i="3"/>
  <c r="M7" i="3"/>
  <c r="P7" i="3"/>
  <c r="Q12" i="3"/>
  <c r="R12" i="1"/>
  <c r="M12" i="1"/>
  <c r="P12" i="1"/>
  <c r="Q12" i="1"/>
  <c r="H12" i="2"/>
  <c r="Q12" i="2"/>
  <c r="H12" i="3"/>
  <c r="Q9" i="3"/>
  <c r="R9" i="1"/>
  <c r="M9" i="1"/>
  <c r="P9" i="1"/>
  <c r="Q9" i="1"/>
  <c r="H9" i="2"/>
  <c r="Q9" i="2"/>
  <c r="H9" i="3"/>
  <c r="R9" i="3"/>
  <c r="M9" i="3"/>
  <c r="P9" i="3"/>
  <c r="R10" i="3"/>
  <c r="M10" i="3"/>
  <c r="P10" i="3"/>
  <c r="R9" i="2"/>
  <c r="M9" i="2"/>
  <c r="P9" i="2"/>
  <c r="R14" i="2"/>
  <c r="M14" i="2"/>
  <c r="P14" i="2"/>
  <c r="R8" i="2"/>
  <c r="M8" i="2"/>
  <c r="P8" i="2"/>
  <c r="R7" i="2"/>
  <c r="M7" i="2"/>
  <c r="P7" i="2"/>
  <c r="R11" i="2"/>
  <c r="M11" i="2"/>
  <c r="P11" i="2"/>
</calcChain>
</file>

<file path=xl/sharedStrings.xml><?xml version="1.0" encoding="utf-8"?>
<sst xmlns="http://schemas.openxmlformats.org/spreadsheetml/2006/main" count="1144" uniqueCount="192">
  <si>
    <r>
      <rPr>
        <sz val="12"/>
        <rFont val="Times New Roman"/>
        <family val="1"/>
      </rPr>
      <t>Масло марки «Р»</t>
    </r>
  </si>
  <si>
    <t>сентябрь</t>
  </si>
  <si>
    <t>октябрь</t>
  </si>
  <si>
    <t>ноябрь</t>
  </si>
  <si>
    <t>декабрь</t>
  </si>
  <si>
    <t>январь</t>
  </si>
  <si>
    <t>погк Малорита</t>
  </si>
  <si>
    <t>13ПОГЗ</t>
  </si>
  <si>
    <t>9 ПОГЗ</t>
  </si>
  <si>
    <t>12 ПОГЗ</t>
  </si>
  <si>
    <t>№ п/п</t>
  </si>
  <si>
    <t>со склада воинской части</t>
  </si>
  <si>
    <t>прочий приход</t>
  </si>
  <si>
    <t>всего</t>
  </si>
  <si>
    <t>передано другим воинским частям (подразделениям)</t>
  </si>
  <si>
    <t>прочий расход</t>
  </si>
  <si>
    <r>
      <rPr>
        <sz val="12"/>
        <rFont val="Times New Roman"/>
        <family val="1"/>
        <charset val="204"/>
      </rPr>
      <t>из других воинских частей
(подразделений)</t>
    </r>
  </si>
  <si>
    <t>Прибыло</t>
  </si>
  <si>
    <t>Убыло</t>
  </si>
  <si>
    <r>
      <rPr>
        <sz val="12"/>
        <rFont val="Times New Roman"/>
        <family val="1"/>
      </rPr>
      <t>№ п/п</t>
    </r>
  </si>
  <si>
    <r>
      <rPr>
        <sz val="12"/>
        <rFont val="Times New Roman"/>
        <family val="1"/>
      </rPr>
      <t>Наименование материальных средств</t>
    </r>
  </si>
  <si>
    <r>
      <rPr>
        <sz val="12"/>
        <rFont val="Times New Roman"/>
        <family val="1"/>
      </rPr>
      <t>Единица измерения</t>
    </r>
  </si>
  <si>
    <r>
      <rPr>
        <sz val="12"/>
        <rFont val="Times New Roman"/>
        <family val="1"/>
      </rPr>
      <t>Категория</t>
    </r>
  </si>
  <si>
    <r>
      <rPr>
        <sz val="12"/>
        <rFont val="Times New Roman"/>
        <family val="1"/>
      </rPr>
      <t>Экономия</t>
    </r>
  </si>
  <si>
    <r>
      <rPr>
        <sz val="12"/>
        <rFont val="Times New Roman"/>
        <family val="1"/>
      </rPr>
      <t>Перерасход</t>
    </r>
  </si>
  <si>
    <r>
      <rPr>
        <sz val="12"/>
        <rFont val="Times New Roman"/>
        <family val="1"/>
      </rPr>
      <t>л</t>
    </r>
  </si>
  <si>
    <r>
      <rPr>
        <sz val="12"/>
        <rFont val="Times New Roman"/>
        <family val="1"/>
      </rPr>
      <t>Дизельное топливо ДТ-З-К5</t>
    </r>
  </si>
  <si>
    <r>
      <rPr>
        <sz val="12"/>
        <rFont val="Times New Roman"/>
        <family val="1"/>
      </rPr>
      <t>Автомобильный бензин АИ-95-К5</t>
    </r>
  </si>
  <si>
    <r>
      <rPr>
        <sz val="12"/>
        <rFont val="Times New Roman"/>
        <family val="1"/>
      </rPr>
      <t>Масло моторное М-8В</t>
    </r>
  </si>
  <si>
    <r>
      <rPr>
        <sz val="12"/>
        <rFont val="Times New Roman"/>
        <family val="1"/>
      </rPr>
      <t>-</t>
    </r>
  </si>
  <si>
    <r>
      <rPr>
        <sz val="12"/>
        <rFont val="Times New Roman"/>
        <family val="1"/>
      </rPr>
      <t>Т/Ж «Dot-4»</t>
    </r>
  </si>
  <si>
    <r>
      <rPr>
        <sz val="12"/>
        <rFont val="Times New Roman"/>
        <family val="1"/>
      </rPr>
      <t>Тосол-А40</t>
    </r>
  </si>
  <si>
    <r>
      <rPr>
        <sz val="12"/>
        <rFont val="Times New Roman"/>
        <family val="1"/>
      </rPr>
      <t>Антифриз зелен.</t>
    </r>
  </si>
  <si>
    <r>
      <rPr>
        <sz val="12"/>
        <rFont val="Times New Roman"/>
        <family val="1"/>
      </rPr>
      <t>Антифриз красн.</t>
    </r>
  </si>
  <si>
    <r>
      <rPr>
        <sz val="12"/>
        <rFont val="Times New Roman"/>
        <family val="1"/>
      </rPr>
      <t>Реагент AdBlue</t>
    </r>
  </si>
  <si>
    <r>
      <rPr>
        <sz val="12"/>
        <rFont val="Times New Roman"/>
        <family val="1"/>
      </rPr>
      <t>Топливная карта</t>
    </r>
  </si>
  <si>
    <r>
      <rPr>
        <sz val="12"/>
        <rFont val="Times New Roman"/>
        <family val="1"/>
      </rPr>
      <t>шт.</t>
    </r>
  </si>
  <si>
    <r>
      <rPr>
        <sz val="12"/>
        <rFont val="Times New Roman"/>
        <family val="1"/>
      </rPr>
      <t>Итого наименований:18</t>
    </r>
    <r>
      <rPr>
        <u/>
        <sz val="12"/>
        <rFont val="Times New Roman"/>
        <family val="1"/>
      </rPr>
      <t> (восемнадцать)</t>
    </r>
  </si>
  <si>
    <r>
      <rPr>
        <sz val="12"/>
        <rFont val="Times New Roman"/>
        <family val="1"/>
      </rPr>
      <t>Наименование графы</t>
    </r>
  </si>
  <si>
    <r>
      <rPr>
        <sz val="12"/>
        <rFont val="Times New Roman"/>
        <family val="1"/>
      </rPr>
      <t>Откуда прибыло, куда убыло</t>
    </r>
  </si>
  <si>
    <r>
      <rPr>
        <sz val="12"/>
        <rFont val="Times New Roman"/>
        <family val="1"/>
      </rPr>
      <t>Наименование документа</t>
    </r>
  </si>
  <si>
    <r>
      <rPr>
        <sz val="12"/>
        <rFont val="Times New Roman"/>
        <family val="1"/>
      </rPr>
      <t>№, дата документа</t>
    </r>
  </si>
  <si>
    <r>
      <rPr>
        <sz val="12"/>
        <rFont val="Times New Roman"/>
        <family val="1"/>
      </rPr>
      <t>АИ-92</t>
    </r>
  </si>
  <si>
    <r>
      <rPr>
        <sz val="12"/>
        <rFont val="Times New Roman"/>
        <family val="1"/>
      </rPr>
      <t>ДТ-З</t>
    </r>
  </si>
  <si>
    <r>
      <rPr>
        <sz val="12"/>
        <rFont val="Times New Roman"/>
        <family val="1"/>
      </rPr>
      <t>АИ-95</t>
    </r>
  </si>
  <si>
    <r>
      <rPr>
        <sz val="12"/>
        <rFont val="Times New Roman"/>
        <family val="1"/>
      </rPr>
      <t>М-8В</t>
    </r>
  </si>
  <si>
    <r>
      <rPr>
        <sz val="12"/>
        <rFont val="Times New Roman"/>
        <family val="1"/>
      </rPr>
      <t>М-10Г2/М-10Г2к</t>
    </r>
  </si>
  <si>
    <r>
      <rPr>
        <sz val="12"/>
        <rFont val="Times New Roman"/>
        <family val="1"/>
      </rPr>
      <t>5W-30 SN/CF</t>
    </r>
  </si>
  <si>
    <r>
      <rPr>
        <sz val="12"/>
        <rFont val="Times New Roman"/>
        <family val="1"/>
      </rPr>
      <t>5W-40 SL/CF</t>
    </r>
  </si>
  <si>
    <r>
      <rPr>
        <sz val="12"/>
        <rFont val="Times New Roman"/>
        <family val="1"/>
      </rPr>
      <t>5W-40 SN/CF син.</t>
    </r>
  </si>
  <si>
    <r>
      <rPr>
        <sz val="12"/>
        <rFont val="Times New Roman"/>
        <family val="1"/>
      </rPr>
      <t>10W-40 SL/CF</t>
    </r>
  </si>
  <si>
    <r>
      <rPr>
        <sz val="12"/>
        <rFont val="Times New Roman"/>
        <family val="1"/>
      </rPr>
      <t>10W-40 CI-4/SL</t>
    </r>
  </si>
  <si>
    <r>
      <rPr>
        <sz val="12"/>
        <rFont val="Times New Roman"/>
        <family val="1"/>
      </rPr>
      <t>ТЭП-15</t>
    </r>
  </si>
  <si>
    <r>
      <rPr>
        <sz val="12"/>
        <rFont val="Times New Roman"/>
        <family val="1"/>
      </rPr>
      <t>75W-90 GL-5</t>
    </r>
  </si>
  <si>
    <r>
      <rPr>
        <sz val="12"/>
        <rFont val="Times New Roman"/>
        <family val="1"/>
      </rPr>
      <t>AdBlue</t>
    </r>
  </si>
  <si>
    <r>
      <rPr>
        <sz val="12"/>
        <rFont val="Times New Roman"/>
        <family val="1"/>
      </rPr>
      <t>Склад в/ч</t>
    </r>
  </si>
  <si>
    <r>
      <rPr>
        <sz val="12"/>
        <rFont val="Times New Roman"/>
        <family val="1"/>
      </rPr>
      <t>Р/в</t>
    </r>
  </si>
  <si>
    <r>
      <rPr>
        <sz val="12"/>
        <rFont val="Times New Roman"/>
        <family val="1"/>
      </rPr>
      <t>№ 557, 557/1/2/3/4/5</t>
    </r>
  </si>
  <si>
    <r>
      <rPr>
        <sz val="12"/>
        <rFont val="Times New Roman"/>
        <family val="1"/>
      </rPr>
      <t>Накладная</t>
    </r>
  </si>
  <si>
    <r>
      <rPr>
        <b/>
        <sz val="12"/>
        <rFont val="Times New Roman"/>
        <family val="1"/>
      </rPr>
      <t>Всего по графе 6</t>
    </r>
  </si>
  <si>
    <r>
      <rPr>
        <sz val="12"/>
        <rFont val="Times New Roman"/>
        <family val="1"/>
      </rPr>
      <t>1 ПОГЗ</t>
    </r>
  </si>
  <si>
    <r>
      <rPr>
        <sz val="12"/>
        <rFont val="Times New Roman"/>
        <family val="1"/>
      </rPr>
      <t>4 ПОГЗ</t>
    </r>
  </si>
  <si>
    <r>
      <rPr>
        <b/>
        <sz val="12"/>
        <rFont val="Times New Roman"/>
        <family val="1"/>
      </rPr>
      <t>Всего по графе 7</t>
    </r>
  </si>
  <si>
    <r>
      <rPr>
        <sz val="12"/>
        <rFont val="Times New Roman"/>
        <family val="1"/>
      </rPr>
      <t>АЗС №</t>
    </r>
  </si>
  <si>
    <r>
      <rPr>
        <sz val="12"/>
        <rFont val="Times New Roman"/>
        <family val="1"/>
      </rPr>
      <t>Чек №</t>
    </r>
  </si>
  <si>
    <r>
      <rPr>
        <b/>
        <sz val="12"/>
        <rFont val="Times New Roman"/>
        <family val="1"/>
      </rPr>
      <t>Всего по графе 8</t>
    </r>
  </si>
  <si>
    <r>
      <rPr>
        <sz val="12"/>
        <rFont val="Times New Roman"/>
        <family val="1"/>
      </rPr>
      <t>Фактический расход</t>
    </r>
  </si>
  <si>
    <r>
      <rPr>
        <sz val="12"/>
        <rFont val="Times New Roman"/>
        <family val="1"/>
      </rPr>
      <t>Путевой лист</t>
    </r>
  </si>
  <si>
    <r>
      <rPr>
        <b/>
        <sz val="12"/>
        <rFont val="Times New Roman"/>
        <family val="1"/>
      </rPr>
      <t>Всего по графе 10</t>
    </r>
  </si>
  <si>
    <r>
      <rPr>
        <b/>
        <sz val="12"/>
        <rFont val="Times New Roman"/>
        <family val="1"/>
      </rPr>
      <t>Всего по графе 11</t>
    </r>
  </si>
  <si>
    <r>
      <rPr>
        <sz val="12"/>
        <rFont val="Times New Roman"/>
        <family val="1"/>
      </rPr>
      <t>Замена масла</t>
    </r>
  </si>
  <si>
    <r>
      <rPr>
        <sz val="12"/>
        <rFont val="Times New Roman"/>
        <family val="1"/>
      </rPr>
      <t>АКТ</t>
    </r>
  </si>
  <si>
    <r>
      <rPr>
        <sz val="12"/>
        <rFont val="Times New Roman"/>
        <family val="1"/>
      </rPr>
      <t>ОЖ на долив</t>
    </r>
  </si>
  <si>
    <r>
      <rPr>
        <b/>
        <sz val="12"/>
        <rFont val="Times New Roman"/>
        <family val="1"/>
      </rPr>
      <t>Всего по графе 12</t>
    </r>
  </si>
  <si>
    <r>
      <rPr>
        <sz val="12"/>
        <rFont val="Times New Roman"/>
        <family val="1"/>
      </rPr>
      <t>Наименование техники (агрегата)</t>
    </r>
  </si>
  <si>
    <r>
      <rPr>
        <sz val="12"/>
        <rFont val="Times New Roman"/>
        <family val="1"/>
      </rPr>
      <t>Марка, модель техники (агрегата)</t>
    </r>
  </si>
  <si>
    <r>
      <rPr>
        <sz val="12"/>
        <rFont val="Times New Roman"/>
        <family val="1"/>
      </rPr>
      <t>Номер техники (агрегата)</t>
    </r>
  </si>
  <si>
    <r>
      <rPr>
        <sz val="12"/>
        <rFont val="Times New Roman"/>
        <family val="1"/>
      </rPr>
      <t>Отработано км (м)/ч</t>
    </r>
  </si>
  <si>
    <r>
      <rPr>
        <sz val="12"/>
        <rFont val="Times New Roman"/>
        <family val="1"/>
      </rPr>
      <t>Наименование и количество израсходованных ГСМ, ТС</t>
    </r>
  </si>
  <si>
    <r>
      <rPr>
        <sz val="12"/>
        <rFont val="Times New Roman"/>
        <family val="1"/>
      </rPr>
      <t>Масло марки
«Р»</t>
    </r>
  </si>
  <si>
    <r>
      <rPr>
        <sz val="12"/>
        <rFont val="Times New Roman"/>
        <family val="1"/>
      </rPr>
      <t>УАЗ</t>
    </r>
  </si>
  <si>
    <r>
      <rPr>
        <sz val="12"/>
        <rFont val="Times New Roman"/>
        <family val="1"/>
      </rPr>
      <t>РС 7092-0</t>
    </r>
  </si>
  <si>
    <r>
      <rPr>
        <sz val="12"/>
        <rFont val="Times New Roman"/>
        <family val="1"/>
      </rPr>
      <t>РС 7034-0</t>
    </r>
  </si>
  <si>
    <r>
      <rPr>
        <sz val="12"/>
        <rFont val="Times New Roman"/>
        <family val="1"/>
      </rPr>
      <t>РС 7011-0</t>
    </r>
  </si>
  <si>
    <r>
      <rPr>
        <sz val="12"/>
        <rFont val="Times New Roman"/>
        <family val="1"/>
      </rPr>
      <t>РС 7002-0</t>
    </r>
  </si>
  <si>
    <r>
      <rPr>
        <sz val="12"/>
        <rFont val="Times New Roman"/>
        <family val="1"/>
      </rPr>
      <t>РС 7006-0</t>
    </r>
  </si>
  <si>
    <r>
      <rPr>
        <sz val="12"/>
        <rFont val="Times New Roman"/>
        <family val="1"/>
      </rPr>
      <t>7215 ПВ</t>
    </r>
  </si>
  <si>
    <r>
      <rPr>
        <sz val="12"/>
        <rFont val="Times New Roman"/>
        <family val="1"/>
      </rPr>
      <t>7009 РС-0</t>
    </r>
  </si>
  <si>
    <r>
      <rPr>
        <sz val="12"/>
        <rFont val="Times New Roman"/>
        <family val="1"/>
      </rPr>
      <t>ГАЗ</t>
    </r>
  </si>
  <si>
    <r>
      <rPr>
        <sz val="12"/>
        <rFont val="Times New Roman"/>
        <family val="1"/>
      </rPr>
      <t>РС 7047-0</t>
    </r>
  </si>
  <si>
    <r>
      <rPr>
        <sz val="12"/>
        <rFont val="Times New Roman"/>
        <family val="1"/>
      </rPr>
      <t>ЗИЛ</t>
    </r>
  </si>
  <si>
    <r>
      <rPr>
        <sz val="12"/>
        <rFont val="Times New Roman"/>
        <family val="1"/>
      </rPr>
      <t>131-КО520</t>
    </r>
  </si>
  <si>
    <r>
      <rPr>
        <sz val="12"/>
        <rFont val="Times New Roman"/>
        <family val="1"/>
      </rPr>
      <t>7083 ПВ</t>
    </r>
  </si>
  <si>
    <r>
      <rPr>
        <sz val="12"/>
        <rFont val="Times New Roman"/>
        <family val="1"/>
      </rPr>
      <t>7025 ПВ</t>
    </r>
  </si>
  <si>
    <r>
      <rPr>
        <sz val="12"/>
        <rFont val="Times New Roman"/>
        <family val="1"/>
      </rPr>
      <t>7113 ПВ</t>
    </r>
  </si>
  <si>
    <r>
      <rPr>
        <sz val="12"/>
        <rFont val="Times New Roman"/>
        <family val="1"/>
      </rPr>
      <t>7107 ПВ</t>
    </r>
  </si>
  <si>
    <r>
      <rPr>
        <sz val="12"/>
        <rFont val="Times New Roman"/>
        <family val="1"/>
      </rPr>
      <t>НИВА</t>
    </r>
  </si>
  <si>
    <r>
      <rPr>
        <sz val="12"/>
        <rFont val="Times New Roman"/>
        <family val="1"/>
      </rPr>
      <t>ММ 0849-1</t>
    </r>
  </si>
  <si>
    <r>
      <rPr>
        <sz val="12"/>
        <rFont val="Times New Roman"/>
        <family val="1"/>
      </rPr>
      <t>ФОЛЬКСВАГЕН</t>
    </r>
  </si>
  <si>
    <r>
      <rPr>
        <sz val="12"/>
        <rFont val="Times New Roman"/>
        <family val="1"/>
      </rPr>
      <t>В6</t>
    </r>
  </si>
  <si>
    <r>
      <rPr>
        <sz val="12"/>
        <rFont val="Times New Roman"/>
        <family val="1"/>
      </rPr>
      <t>РС 7021-0</t>
    </r>
  </si>
  <si>
    <r>
      <rPr>
        <sz val="12"/>
        <rFont val="Times New Roman"/>
        <family val="1"/>
      </rPr>
      <t>ДЖИЛИ</t>
    </r>
  </si>
  <si>
    <r>
      <rPr>
        <sz val="12"/>
        <rFont val="Times New Roman"/>
        <family val="1"/>
      </rPr>
      <t>SC-7</t>
    </r>
  </si>
  <si>
    <r>
      <rPr>
        <sz val="12"/>
        <rFont val="Times New Roman"/>
        <family val="1"/>
      </rPr>
      <t>РС 7327-0</t>
    </r>
  </si>
  <si>
    <r>
      <rPr>
        <sz val="12"/>
        <rFont val="Times New Roman"/>
        <family val="1"/>
      </rPr>
      <t>УРАЛ</t>
    </r>
  </si>
  <si>
    <r>
      <rPr>
        <sz val="12"/>
        <rFont val="Times New Roman"/>
        <family val="1"/>
      </rPr>
      <t>7043 ПВ</t>
    </r>
  </si>
  <si>
    <r>
      <rPr>
        <sz val="12"/>
        <rFont val="Times New Roman"/>
        <family val="1"/>
      </rPr>
      <t>РС 7003-0</t>
    </r>
  </si>
  <si>
    <r>
      <rPr>
        <sz val="12"/>
        <rFont val="Times New Roman"/>
        <family val="1"/>
      </rPr>
      <t>МАЗ</t>
    </r>
  </si>
  <si>
    <r>
      <rPr>
        <sz val="12"/>
        <rFont val="Times New Roman"/>
        <family val="1"/>
      </rPr>
      <t>5340С3</t>
    </r>
  </si>
  <si>
    <r>
      <rPr>
        <sz val="12"/>
        <rFont val="Times New Roman"/>
        <family val="1"/>
      </rPr>
      <t>РС 7365-0</t>
    </r>
  </si>
  <si>
    <r>
      <rPr>
        <sz val="12"/>
        <rFont val="Times New Roman"/>
        <family val="1"/>
      </rPr>
      <t>5337А</t>
    </r>
  </si>
  <si>
    <r>
      <rPr>
        <sz val="12"/>
        <rFont val="Times New Roman"/>
        <family val="1"/>
      </rPr>
      <t>7153 ПВ</t>
    </r>
  </si>
  <si>
    <r>
      <rPr>
        <sz val="12"/>
        <rFont val="Times New Roman"/>
        <family val="1"/>
      </rPr>
      <t>6430А8</t>
    </r>
  </si>
  <si>
    <r>
      <rPr>
        <sz val="12"/>
        <rFont val="Times New Roman"/>
        <family val="1"/>
      </rPr>
      <t>7024 ПВ</t>
    </r>
  </si>
  <si>
    <r>
      <rPr>
        <sz val="12"/>
        <rFont val="Times New Roman"/>
        <family val="1"/>
      </rPr>
      <t>7124 ПВ</t>
    </r>
  </si>
  <si>
    <r>
      <rPr>
        <sz val="12"/>
        <rFont val="Times New Roman"/>
        <family val="1"/>
      </rPr>
      <t>A31R22</t>
    </r>
  </si>
  <si>
    <r>
      <rPr>
        <sz val="12"/>
        <rFont val="Times New Roman"/>
        <family val="1"/>
      </rPr>
      <t>РС 7090-0</t>
    </r>
  </si>
  <si>
    <r>
      <rPr>
        <sz val="12"/>
        <rFont val="Times New Roman"/>
        <family val="1"/>
      </rPr>
      <t>7151 ПВ</t>
    </r>
  </si>
  <si>
    <r>
      <rPr>
        <sz val="12"/>
        <rFont val="Times New Roman"/>
        <family val="1"/>
      </rPr>
      <t>7097 ПВ</t>
    </r>
  </si>
  <si>
    <r>
      <rPr>
        <sz val="12"/>
        <rFont val="Times New Roman"/>
        <family val="1"/>
      </rPr>
      <t>НЕМАН</t>
    </r>
  </si>
  <si>
    <r>
      <rPr>
        <sz val="12"/>
        <rFont val="Times New Roman"/>
        <family val="1"/>
      </rPr>
      <t>РС 7030-0</t>
    </r>
  </si>
  <si>
    <r>
      <rPr>
        <sz val="12"/>
        <rFont val="Times New Roman"/>
        <family val="1"/>
      </rPr>
      <t>7290 ПВ</t>
    </r>
  </si>
  <si>
    <r>
      <rPr>
        <sz val="12"/>
        <rFont val="Times New Roman"/>
        <family val="1"/>
      </rPr>
      <t>ФОРД</t>
    </r>
  </si>
  <si>
    <r>
      <rPr>
        <sz val="12"/>
        <rFont val="Times New Roman"/>
        <family val="1"/>
      </rPr>
      <t>ТРАНЗИТ</t>
    </r>
  </si>
  <si>
    <r>
      <rPr>
        <sz val="12"/>
        <rFont val="Times New Roman"/>
        <family val="1"/>
      </rPr>
      <t>РС 7146-0</t>
    </r>
  </si>
  <si>
    <r>
      <rPr>
        <sz val="12"/>
        <rFont val="Times New Roman"/>
        <family val="1"/>
      </rPr>
      <t>РС 7374-0</t>
    </r>
  </si>
  <si>
    <r>
      <rPr>
        <sz val="12"/>
        <rFont val="Times New Roman"/>
        <family val="1"/>
      </rPr>
      <t>РС 7170-0</t>
    </r>
  </si>
  <si>
    <r>
      <rPr>
        <sz val="12"/>
        <rFont val="Times New Roman"/>
        <family val="1"/>
      </rPr>
      <t>7193 РС-0</t>
    </r>
  </si>
  <si>
    <r>
      <rPr>
        <sz val="12"/>
        <rFont val="Times New Roman"/>
        <family val="1"/>
      </rPr>
      <t>7111 ПВ</t>
    </r>
  </si>
  <si>
    <r>
      <rPr>
        <sz val="12"/>
        <rFont val="Times New Roman"/>
        <family val="1"/>
      </rPr>
      <t>7117 ПВ</t>
    </r>
  </si>
  <si>
    <r>
      <rPr>
        <b/>
        <sz val="12"/>
        <rFont val="Times New Roman"/>
        <family val="1"/>
      </rPr>
      <t>Всего:</t>
    </r>
  </si>
  <si>
    <r>
      <rPr>
        <sz val="12"/>
        <rFont val="Times New Roman"/>
        <family val="1"/>
      </rPr>
      <t>Командир подразделения: лейтенант</t>
    </r>
    <r>
      <rPr>
        <u/>
        <sz val="12"/>
        <rFont val="Times New Roman"/>
        <family val="1"/>
      </rPr>
      <t>                                                                        </t>
    </r>
    <r>
      <rPr>
        <sz val="12"/>
        <rFont val="Times New Roman"/>
        <family val="1"/>
      </rPr>
      <t>В.С.Войтюк
(воинские должность и звание, подпись, фамилия)</t>
    </r>
  </si>
  <si>
    <r>
      <rPr>
        <sz val="12"/>
        <rFont val="Times New Roman"/>
        <family val="1"/>
      </rPr>
      <t>Заключение:</t>
    </r>
  </si>
  <si>
    <r>
      <rPr>
        <sz val="12"/>
        <rFont val="Times New Roman"/>
        <family val="1"/>
      </rPr>
      <t>Начальник отделения ГСМ: майор</t>
    </r>
    <r>
      <rPr>
        <u/>
        <sz val="12"/>
        <rFont val="Times New Roman"/>
        <family val="1"/>
      </rPr>
      <t>                                                                              </t>
    </r>
    <r>
      <rPr>
        <sz val="12"/>
        <rFont val="Times New Roman"/>
        <family val="1"/>
      </rPr>
      <t>В.А.Козич
(воинские должность и звание, подпись, фамилия)</t>
    </r>
  </si>
  <si>
    <r>
      <rPr>
        <u/>
        <sz val="12"/>
        <rFont val="Times New Roman"/>
        <family val="1"/>
      </rPr>
      <t>    </t>
    </r>
    <r>
      <rPr>
        <sz val="12"/>
        <rFont val="Times New Roman"/>
        <family val="1"/>
      </rPr>
      <t>.</t>
    </r>
    <r>
      <rPr>
        <u/>
        <sz val="12"/>
        <rFont val="Times New Roman"/>
        <family val="1"/>
      </rPr>
      <t>    </t>
    </r>
    <r>
      <rPr>
        <sz val="12"/>
        <rFont val="Times New Roman"/>
        <family val="1"/>
      </rPr>
      <t>.2026</t>
    </r>
  </si>
  <si>
    <t>Автомобильный бензин АИ-92-К5</t>
  </si>
  <si>
    <t>Дизельное топливо ДТ-Л-К5</t>
  </si>
  <si>
    <t>Масло моторное 5W-30 SN/CF</t>
  </si>
  <si>
    <t>Масло трансмис. ТЭП-15</t>
  </si>
  <si>
    <t>Масло марки «Р»</t>
  </si>
  <si>
    <t>Масло моторное 5W-40 SN/CF (синт.)</t>
  </si>
  <si>
    <t>Масло моторное 10W-40 SL/CF</t>
  </si>
  <si>
    <t>Масло моторное 10W-40 СI-4/CL</t>
  </si>
  <si>
    <t>Масло трансм. 75W-90 API GL-5</t>
  </si>
  <si>
    <r>
      <rPr>
        <b/>
        <sz val="9"/>
        <rFont val="Times New Roman"/>
        <family val="1"/>
      </rPr>
      <t>УАЗ</t>
    </r>
    <r>
      <rPr>
        <sz val="9"/>
        <rFont val="Times New Roman"/>
        <family val="1"/>
      </rPr>
      <t xml:space="preserve">: 7092, 7034, 7011, 7002,
7003, 7006, 7009, 7215.
</t>
    </r>
    <r>
      <rPr>
        <b/>
        <sz val="9"/>
        <rFont val="Times New Roman"/>
        <family val="1"/>
      </rPr>
      <t>МАЗ</t>
    </r>
    <r>
      <rPr>
        <sz val="9"/>
        <rFont val="Times New Roman"/>
        <family val="1"/>
      </rPr>
      <t>: 7097</t>
    </r>
    <r>
      <rPr>
        <b/>
        <sz val="9"/>
        <rFont val="Times New Roman"/>
        <family val="1"/>
      </rPr>
      <t xml:space="preserve">, </t>
    </r>
    <r>
      <rPr>
        <sz val="9"/>
        <rFont val="Times New Roman"/>
        <family val="1"/>
      </rPr>
      <t xml:space="preserve">7117, 7365, 7024,
7124, 7151, 7153.
</t>
    </r>
    <r>
      <rPr>
        <b/>
        <sz val="9"/>
        <rFont val="Times New Roman"/>
        <family val="1"/>
      </rPr>
      <t xml:space="preserve">ГАЗ: </t>
    </r>
    <r>
      <rPr>
        <sz val="9"/>
        <rFont val="Times New Roman"/>
        <family val="1"/>
      </rPr>
      <t xml:space="preserve">7047, 7193, 7090, 7170,
7290, 7374.
</t>
    </r>
    <r>
      <rPr>
        <b/>
        <sz val="9"/>
        <rFont val="Times New Roman"/>
        <family val="1"/>
      </rPr>
      <t xml:space="preserve">3ИЛ: </t>
    </r>
    <r>
      <rPr>
        <sz val="9"/>
        <rFont val="Times New Roman"/>
        <family val="1"/>
      </rPr>
      <t xml:space="preserve">7083, 7025, 7111, 7107,
7113.
</t>
    </r>
    <r>
      <rPr>
        <b/>
        <sz val="9"/>
        <rFont val="Times New Roman"/>
        <family val="1"/>
      </rPr>
      <t>НЕМАН</t>
    </r>
    <r>
      <rPr>
        <sz val="9"/>
        <rFont val="Times New Roman"/>
        <family val="1"/>
      </rPr>
      <t xml:space="preserve">: 7030.
</t>
    </r>
    <r>
      <rPr>
        <b/>
        <sz val="9"/>
        <rFont val="Times New Roman"/>
        <family val="1"/>
      </rPr>
      <t xml:space="preserve">УРАЛ: </t>
    </r>
    <r>
      <rPr>
        <sz val="9"/>
        <rFont val="Times New Roman"/>
        <family val="1"/>
      </rPr>
      <t xml:space="preserve">7043
</t>
    </r>
    <r>
      <rPr>
        <b/>
        <sz val="9"/>
        <rFont val="Times New Roman"/>
        <family val="1"/>
      </rPr>
      <t xml:space="preserve">НИВА ШЕВРОЛЕ: </t>
    </r>
    <r>
      <rPr>
        <sz val="9"/>
        <rFont val="Times New Roman"/>
        <family val="1"/>
      </rPr>
      <t xml:space="preserve">0849.
</t>
    </r>
    <r>
      <rPr>
        <b/>
        <sz val="9"/>
        <rFont val="Times New Roman"/>
        <family val="1"/>
      </rPr>
      <t xml:space="preserve">ФОЛЬКСВАГЕН: </t>
    </r>
    <r>
      <rPr>
        <sz val="9"/>
        <rFont val="Times New Roman"/>
        <family val="1"/>
      </rPr>
      <t xml:space="preserve">7021.
</t>
    </r>
    <r>
      <rPr>
        <b/>
        <sz val="9"/>
        <rFont val="Times New Roman"/>
        <family val="1"/>
      </rPr>
      <t>ФОРД ТРАНЗИТ</t>
    </r>
    <r>
      <rPr>
        <sz val="9"/>
        <rFont val="Times New Roman"/>
        <family val="1"/>
      </rPr>
      <t xml:space="preserve">: 7146.
</t>
    </r>
    <r>
      <rPr>
        <b/>
        <sz val="9"/>
        <rFont val="Times New Roman"/>
        <family val="1"/>
      </rPr>
      <t>ДЖИЛИ</t>
    </r>
    <r>
      <rPr>
        <sz val="9"/>
        <rFont val="Times New Roman"/>
        <family val="1"/>
      </rPr>
      <t>: 7327.</t>
    </r>
  </si>
  <si>
    <t>о наличии и движении ГСМ и ТС 1 гр. ЦМТО войсковой части 2187 по состоянию на</t>
  </si>
  <si>
    <t>Остаток на начало отчетного периода</t>
  </si>
  <si>
    <t>Остаток на конец отчетного периода</t>
  </si>
  <si>
    <t>Положено израсходовать по норме</t>
  </si>
  <si>
    <t>Наименование и количество ГСМ, ТС</t>
  </si>
  <si>
    <r>
      <rPr>
        <b/>
        <sz val="18"/>
        <rFont val="Times New Roman"/>
        <family val="1"/>
      </rPr>
      <t>ДОНЕСЕНИЕ</t>
    </r>
    <r>
      <rPr>
        <sz val="18"/>
        <rFont val="Times New Roman"/>
        <family val="1"/>
      </rPr>
      <t xml:space="preserve"> № </t>
    </r>
    <r>
      <rPr>
        <u/>
        <sz val="18"/>
        <rFont val="Times New Roman"/>
        <family val="1"/>
      </rPr>
      <t>               </t>
    </r>
  </si>
  <si>
    <t>Всего</t>
  </si>
  <si>
    <t>фактически сожжено в двигателях, израсходовано на эксплуатационные нужды</t>
  </si>
  <si>
    <t>№ 44 от 09.01.2026</t>
  </si>
  <si>
    <t>№ 30 от 30.12.2025</t>
  </si>
  <si>
    <t>№ 65 от 16.01.2026</t>
  </si>
  <si>
    <t>№ 1200 от 09.12.2025</t>
  </si>
  <si>
    <t>Масло моторное 5W-40 SL/CF (полусинт.)</t>
  </si>
  <si>
    <t>10W-40 CI-4/CL</t>
  </si>
  <si>
    <t>в/ч 1463</t>
  </si>
  <si>
    <t>в/ч 2007</t>
  </si>
  <si>
    <t>4 ПОГЗ</t>
  </si>
  <si>
    <t>5 ПОГЗ</t>
  </si>
  <si>
    <t>Возврат на склад ГСМ</t>
  </si>
  <si>
    <t>Накладная</t>
  </si>
  <si>
    <t>Отработано км (м)/ч</t>
  </si>
  <si>
    <t>РС 7176-0</t>
  </si>
  <si>
    <t>УАЗ</t>
  </si>
  <si>
    <t>РС 7140-0</t>
  </si>
  <si>
    <t>ГАЗ</t>
  </si>
  <si>
    <t>7041 ПВ</t>
  </si>
  <si>
    <t>РС 7166-0</t>
  </si>
  <si>
    <t>7016 РС-0</t>
  </si>
  <si>
    <t>ЗИЛ</t>
  </si>
  <si>
    <t>7105 ПВ</t>
  </si>
  <si>
    <t>РС 7349-0</t>
  </si>
  <si>
    <r>
      <rPr>
        <sz val="12"/>
        <rFont val="Times New Roman"/>
        <family val="1"/>
      </rPr>
      <t>7117</t>
    </r>
    <r>
      <rPr>
        <sz val="11"/>
        <color theme="1"/>
        <rFont val="Calibri"/>
        <family val="2"/>
        <charset val="204"/>
        <scheme val="minor"/>
      </rPr>
      <t xml:space="preserve"> ПВ</t>
    </r>
  </si>
  <si>
    <t>МАЗ</t>
  </si>
  <si>
    <t>5551А2-320</t>
  </si>
  <si>
    <t>7036 ПВ</t>
  </si>
  <si>
    <t>М-10Г2/М-10Г2к</t>
  </si>
  <si>
    <t>Масло моторное М-10Г2/М-10Г2к</t>
  </si>
  <si>
    <r>
      <t>Итого наименований:20</t>
    </r>
    <r>
      <rPr>
        <u/>
        <sz val="12"/>
        <rFont val="Times New Roman"/>
        <family val="1"/>
      </rPr>
      <t> (двадцать)</t>
    </r>
  </si>
  <si>
    <t>№ 126, 126/1/2/3/4/5</t>
  </si>
  <si>
    <t>5W-40 полусинт.</t>
  </si>
  <si>
    <r>
      <rPr>
        <sz val="12"/>
        <rFont val="Times New Roman"/>
        <family val="1"/>
      </rPr>
      <t>АЗС №</t>
    </r>
    <r>
      <rPr>
        <sz val="12"/>
        <rFont val="Times New Roman"/>
        <family val="1"/>
        <charset val="204"/>
      </rPr>
      <t xml:space="preserve"> 76</t>
    </r>
  </si>
  <si>
    <r>
      <t>АЗС №</t>
    </r>
    <r>
      <rPr>
        <sz val="12"/>
        <rFont val="Times New Roman"/>
        <family val="1"/>
        <charset val="204"/>
      </rPr>
      <t xml:space="preserve"> 51</t>
    </r>
  </si>
  <si>
    <t>3 ПОГЗ</t>
  </si>
  <si>
    <t>6ПОГЗ</t>
  </si>
  <si>
    <t>1 ПОГЗ</t>
  </si>
  <si>
    <t>7167 ПВ</t>
  </si>
  <si>
    <r>
      <t>Итого наименований: 20</t>
    </r>
    <r>
      <rPr>
        <u/>
        <sz val="12"/>
        <rFont val="Times New Roman"/>
        <family val="1"/>
      </rPr>
      <t> (Двадцать)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</si>
</sst>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;\-#,##0.0;&quot;-&quot;"/>
    <numFmt numFmtId="165" formatCode="#,##0;\-#,##0;&quot;-&quot;"/>
    <numFmt numFmtId="166" formatCode="#,##0.00;\-#,##0.00;&quot;-&quot;"/>
  </numFmts>
  <fonts count="22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2"/>
      <color rgb="FF000000"/>
      <name val="Times New Roman"/>
      <family val="1"/>
      <charset val="204"/>
    </font>
    <font>
      <u/>
      <sz val="12"/>
      <name val="Times New Roman"/>
      <family val="1"/>
    </font>
    <font>
      <sz val="12"/>
      <color rgb="FF000000"/>
      <name val="Times New Roman"/>
      <family val="2"/>
    </font>
    <font>
      <b/>
      <sz val="12"/>
      <name val="Times New Roman"/>
      <family val="1"/>
      <charset val="204"/>
    </font>
    <font>
      <b/>
      <sz val="12"/>
      <name val="Times New Roman"/>
      <family val="1"/>
    </font>
    <font>
      <b/>
      <sz val="12"/>
      <color rgb="FF000000"/>
      <name val="Times New Roman"/>
      <family val="2"/>
    </font>
    <font>
      <sz val="12"/>
      <color theme="1"/>
      <name val="Calibri"/>
      <family val="2"/>
      <charset val="204"/>
      <scheme val="minor"/>
    </font>
    <font>
      <sz val="9"/>
      <color rgb="FF000000"/>
      <name val="Times New Roman"/>
      <family val="1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8"/>
      <name val="Times New Roman"/>
      <family val="1"/>
    </font>
    <font>
      <b/>
      <sz val="18"/>
      <name val="Times New Roman"/>
      <family val="1"/>
    </font>
    <font>
      <u/>
      <sz val="18"/>
      <name val="Times New Roman"/>
      <family val="1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1">
    <xf numFmtId="0" fontId="0" fillId="0" borderId="0" xfId="0" applyAlignment="1">
      <alignment horizontal="left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2" fillId="0" borderId="8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8" xfId="0" applyNumberFormat="1" applyFont="1" applyBorder="1" applyAlignment="1">
      <alignment vertical="top" shrinkToFit="1"/>
    </xf>
    <xf numFmtId="0" fontId="2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horizontal="left" vertical="top" wrapText="1"/>
    </xf>
    <xf numFmtId="1" fontId="8" fillId="0" borderId="8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left" vertical="top" wrapText="1"/>
    </xf>
    <xf numFmtId="1" fontId="10" fillId="0" borderId="4" xfId="0" applyNumberFormat="1" applyFont="1" applyBorder="1" applyAlignment="1">
      <alignment vertical="center" shrinkToFit="1"/>
    </xf>
    <xf numFmtId="1" fontId="10" fillId="0" borderId="13" xfId="0" applyNumberFormat="1" applyFont="1" applyBorder="1" applyAlignment="1">
      <alignment vertical="center" shrinkToFit="1"/>
    </xf>
    <xf numFmtId="1" fontId="10" fillId="0" borderId="6" xfId="0" applyNumberFormat="1" applyFont="1" applyBorder="1" applyAlignment="1">
      <alignment vertical="center" shrinkToFit="1"/>
    </xf>
    <xf numFmtId="1" fontId="10" fillId="0" borderId="8" xfId="0" applyNumberFormat="1" applyFont="1" applyBorder="1" applyAlignment="1">
      <alignment vertical="center" shrinkToFit="1"/>
    </xf>
    <xf numFmtId="0" fontId="2" fillId="0" borderId="8" xfId="0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" fontId="8" fillId="0" borderId="14" xfId="0" applyNumberFormat="1" applyFont="1" applyBorder="1" applyAlignment="1">
      <alignment horizontal="center" vertical="center" shrinkToFit="1"/>
    </xf>
    <xf numFmtId="1" fontId="8" fillId="4" borderId="1" xfId="0" applyNumberFormat="1" applyFont="1" applyFill="1" applyBorder="1" applyAlignment="1">
      <alignment horizontal="center" vertical="center" shrinkToFit="1"/>
    </xf>
    <xf numFmtId="1" fontId="2" fillId="4" borderId="8" xfId="0" applyNumberFormat="1" applyFont="1" applyFill="1" applyBorder="1" applyAlignment="1">
      <alignment horizontal="center" vertical="center" shrinkToFit="1"/>
    </xf>
    <xf numFmtId="1" fontId="8" fillId="5" borderId="1" xfId="0" applyNumberFormat="1" applyFont="1" applyFill="1" applyBorder="1" applyAlignment="1">
      <alignment horizontal="center" vertical="center" shrinkToFit="1"/>
    </xf>
    <xf numFmtId="1" fontId="17" fillId="4" borderId="8" xfId="0" applyNumberFormat="1" applyFont="1" applyFill="1" applyBorder="1" applyAlignment="1">
      <alignment horizontal="center" vertical="center" shrinkToFit="1"/>
    </xf>
    <xf numFmtId="1" fontId="8" fillId="4" borderId="8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1" fontId="8" fillId="0" borderId="0" xfId="0" applyNumberFormat="1" applyFont="1" applyAlignment="1">
      <alignment horizontal="left" vertical="top"/>
    </xf>
    <xf numFmtId="1" fontId="8" fillId="3" borderId="14" xfId="0" applyNumberFormat="1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 shrinkToFit="1"/>
    </xf>
    <xf numFmtId="0" fontId="11" fillId="4" borderId="8" xfId="0" applyFont="1" applyFill="1" applyBorder="1" applyAlignment="1">
      <alignment horizontal="center" vertical="center" textRotation="90" wrapText="1"/>
    </xf>
    <xf numFmtId="164" fontId="17" fillId="5" borderId="1" xfId="0" applyNumberFormat="1" applyFont="1" applyFill="1" applyBorder="1" applyAlignment="1">
      <alignment horizontal="center" vertical="center" shrinkToFit="1"/>
    </xf>
    <xf numFmtId="164" fontId="8" fillId="4" borderId="8" xfId="0" applyNumberFormat="1" applyFont="1" applyFill="1" applyBorder="1" applyAlignment="1">
      <alignment horizontal="center" vertical="center" shrinkToFit="1"/>
    </xf>
    <xf numFmtId="164" fontId="17" fillId="4" borderId="1" xfId="0" applyNumberFormat="1" applyFont="1" applyFill="1" applyBorder="1" applyAlignment="1">
      <alignment horizontal="center" vertical="center" shrinkToFit="1"/>
    </xf>
    <xf numFmtId="164" fontId="11" fillId="4" borderId="8" xfId="0" applyNumberFormat="1" applyFont="1" applyFill="1" applyBorder="1" applyAlignment="1">
      <alignment horizontal="center" vertical="center" shrinkToFit="1"/>
    </xf>
    <xf numFmtId="164" fontId="11" fillId="7" borderId="8" xfId="0" applyNumberFormat="1" applyFont="1" applyFill="1" applyBorder="1" applyAlignment="1">
      <alignment horizontal="center" vertical="center" shrinkToFit="1"/>
    </xf>
    <xf numFmtId="164" fontId="11" fillId="4" borderId="8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7" borderId="8" xfId="0" applyNumberFormat="1" applyFont="1" applyFill="1" applyBorder="1" applyAlignment="1">
      <alignment horizontal="center" vertical="center" shrinkToFit="1"/>
    </xf>
    <xf numFmtId="164" fontId="10" fillId="3" borderId="8" xfId="0" applyNumberFormat="1" applyFont="1" applyFill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165" fontId="17" fillId="5" borderId="1" xfId="0" applyNumberFormat="1" applyFont="1" applyFill="1" applyBorder="1" applyAlignment="1">
      <alignment horizontal="center" vertical="center" shrinkToFit="1"/>
    </xf>
    <xf numFmtId="165" fontId="8" fillId="4" borderId="8" xfId="0" applyNumberFormat="1" applyFont="1" applyFill="1" applyBorder="1" applyAlignment="1">
      <alignment horizontal="center" vertical="center" shrinkToFit="1"/>
    </xf>
    <xf numFmtId="165" fontId="17" fillId="4" borderId="1" xfId="0" applyNumberFormat="1" applyFont="1" applyFill="1" applyBorder="1" applyAlignment="1">
      <alignment horizontal="center" vertical="center" shrinkToFit="1"/>
    </xf>
    <xf numFmtId="165" fontId="11" fillId="4" borderId="8" xfId="0" applyNumberFormat="1" applyFont="1" applyFill="1" applyBorder="1" applyAlignment="1">
      <alignment horizontal="center" vertical="center" shrinkToFit="1"/>
    </xf>
    <xf numFmtId="165" fontId="11" fillId="7" borderId="8" xfId="0" applyNumberFormat="1" applyFont="1" applyFill="1" applyBorder="1" applyAlignment="1">
      <alignment horizontal="center" vertical="center" shrinkToFit="1"/>
    </xf>
    <xf numFmtId="165" fontId="11" fillId="4" borderId="8" xfId="0" applyNumberFormat="1" applyFont="1" applyFill="1" applyBorder="1" applyAlignment="1">
      <alignment horizontal="center" vertical="center" wrapText="1"/>
    </xf>
    <xf numFmtId="165" fontId="2" fillId="3" borderId="14" xfId="0" applyNumberFormat="1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shrinkToFit="1"/>
    </xf>
    <xf numFmtId="165" fontId="8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5" fontId="2" fillId="6" borderId="8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shrinkToFit="1"/>
    </xf>
    <xf numFmtId="165" fontId="10" fillId="0" borderId="1" xfId="0" applyNumberFormat="1" applyFont="1" applyBorder="1" applyAlignment="1">
      <alignment horizontal="center" vertical="center" shrinkToFit="1"/>
    </xf>
    <xf numFmtId="164" fontId="13" fillId="4" borderId="1" xfId="0" applyNumberFormat="1" applyFont="1" applyFill="1" applyBorder="1" applyAlignment="1">
      <alignment horizontal="center" vertical="top" shrinkToFit="1"/>
    </xf>
    <xf numFmtId="164" fontId="10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center" vertical="top" wrapText="1"/>
    </xf>
    <xf numFmtId="164" fontId="11" fillId="4" borderId="1" xfId="0" applyNumberFormat="1" applyFont="1" applyFill="1" applyBorder="1" applyAlignment="1">
      <alignment horizontal="center" vertical="top" wrapText="1"/>
    </xf>
    <xf numFmtId="164" fontId="10" fillId="4" borderId="1" xfId="0" applyNumberFormat="1" applyFont="1" applyFill="1" applyBorder="1" applyAlignment="1">
      <alignment horizontal="center" vertical="center" shrinkToFit="1"/>
    </xf>
    <xf numFmtId="164" fontId="2" fillId="0" borderId="14" xfId="0" applyNumberFormat="1" applyFont="1" applyBorder="1" applyAlignment="1">
      <alignment horizontal="center" vertical="center" textRotation="90" wrapText="1"/>
    </xf>
    <xf numFmtId="164" fontId="8" fillId="0" borderId="14" xfId="0" applyNumberFormat="1" applyFont="1" applyBorder="1" applyAlignment="1">
      <alignment horizontal="center" vertical="center" textRotation="90" wrapText="1"/>
    </xf>
    <xf numFmtId="164" fontId="2" fillId="2" borderId="14" xfId="0" applyNumberFormat="1" applyFont="1" applyFill="1" applyBorder="1" applyAlignment="1">
      <alignment horizontal="center" vertical="center" textRotation="90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vertical="top" wrapText="1"/>
    </xf>
    <xf numFmtId="165" fontId="13" fillId="4" borderId="1" xfId="0" applyNumberFormat="1" applyFont="1" applyFill="1" applyBorder="1" applyAlignment="1">
      <alignment horizontal="center" vertical="top" shrinkToFit="1"/>
    </xf>
    <xf numFmtId="165" fontId="10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wrapText="1"/>
    </xf>
    <xf numFmtId="165" fontId="2" fillId="0" borderId="8" xfId="0" applyNumberFormat="1" applyFont="1" applyBorder="1" applyAlignment="1">
      <alignment horizontal="center" vertical="top" wrapText="1"/>
    </xf>
    <xf numFmtId="165" fontId="10" fillId="3" borderId="1" xfId="0" applyNumberFormat="1" applyFont="1" applyFill="1" applyBorder="1" applyAlignment="1">
      <alignment horizontal="center" vertical="top" shrinkToFit="1"/>
    </xf>
    <xf numFmtId="165" fontId="11" fillId="4" borderId="1" xfId="0" applyNumberFormat="1" applyFont="1" applyFill="1" applyBorder="1" applyAlignment="1">
      <alignment horizontal="center" vertical="top" wrapText="1"/>
    </xf>
    <xf numFmtId="165" fontId="10" fillId="4" borderId="1" xfId="0" applyNumberFormat="1" applyFont="1" applyFill="1" applyBorder="1" applyAlignment="1">
      <alignment horizontal="center" vertical="center" shrinkToFit="1"/>
    </xf>
    <xf numFmtId="165" fontId="10" fillId="0" borderId="3" xfId="0" applyNumberFormat="1" applyFont="1" applyBorder="1" applyAlignment="1">
      <alignment horizontal="center" vertical="top" shrinkToFit="1"/>
    </xf>
    <xf numFmtId="165" fontId="2" fillId="0" borderId="3" xfId="0" applyNumberFormat="1" applyFont="1" applyBorder="1" applyAlignment="1">
      <alignment horizontal="center" vertical="top" wrapText="1"/>
    </xf>
    <xf numFmtId="165" fontId="10" fillId="0" borderId="8" xfId="0" applyNumberFormat="1" applyFont="1" applyBorder="1" applyAlignment="1">
      <alignment vertical="top" shrinkToFi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1" fontId="10" fillId="0" borderId="6" xfId="0" applyNumberFormat="1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top" wrapText="1"/>
    </xf>
    <xf numFmtId="164" fontId="2" fillId="0" borderId="14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textRotation="90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1" fillId="8" borderId="0" xfId="0" applyFont="1" applyFill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textRotation="90" wrapText="1"/>
    </xf>
    <xf numFmtId="166" fontId="2" fillId="0" borderId="14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center" vertical="top" wrapText="1"/>
    </xf>
    <xf numFmtId="166" fontId="13" fillId="4" borderId="1" xfId="0" applyNumberFormat="1" applyFont="1" applyFill="1" applyBorder="1" applyAlignment="1">
      <alignment horizontal="center" vertical="top" shrinkToFit="1"/>
    </xf>
    <xf numFmtId="0" fontId="7" fillId="0" borderId="12" xfId="0" applyFont="1" applyBorder="1" applyAlignment="1">
      <alignment vertical="center" wrapText="1"/>
    </xf>
    <xf numFmtId="14" fontId="16" fillId="7" borderId="12" xfId="0" applyNumberFormat="1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6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center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11" fillId="4" borderId="10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4" fillId="0" borderId="8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2" fillId="0" borderId="8" xfId="0" applyNumberFormat="1" applyFont="1" applyBorder="1" applyAlignment="1">
      <alignment horizontal="center" vertical="top" wrapText="1"/>
    </xf>
    <xf numFmtId="165" fontId="2" fillId="0" borderId="10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textRotation="90" wrapText="1"/>
    </xf>
    <xf numFmtId="0" fontId="11" fillId="4" borderId="3" xfId="0" applyFont="1" applyFill="1" applyBorder="1" applyAlignment="1">
      <alignment horizontal="center" vertical="center" textRotation="90" wrapText="1"/>
    </xf>
    <xf numFmtId="0" fontId="11" fillId="4" borderId="4" xfId="0" applyFont="1" applyFill="1" applyBorder="1" applyAlignment="1">
      <alignment horizontal="center" vertical="center" textRotation="90" wrapText="1"/>
    </xf>
    <xf numFmtId="0" fontId="11" fillId="4" borderId="6" xfId="0" applyFont="1" applyFill="1" applyBorder="1" applyAlignment="1">
      <alignment horizontal="center" vertical="center" textRotation="90" wrapText="1"/>
    </xf>
    <xf numFmtId="0" fontId="2" fillId="3" borderId="14" xfId="0" applyFont="1" applyFill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top" shrinkToFit="1"/>
    </xf>
    <xf numFmtId="165" fontId="10" fillId="0" borderId="10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shrinkToFit="1"/>
    </xf>
    <xf numFmtId="1" fontId="10" fillId="0" borderId="9" xfId="0" applyNumberFormat="1" applyFont="1" applyBorder="1" applyAlignment="1">
      <alignment horizontal="center" vertical="center" shrinkToFit="1"/>
    </xf>
    <xf numFmtId="1" fontId="10" fillId="0" borderId="10" xfId="0" applyNumberFormat="1" applyFont="1" applyBorder="1" applyAlignment="1">
      <alignment horizontal="center" vertical="center" shrinkToFit="1"/>
    </xf>
    <xf numFmtId="0" fontId="11" fillId="5" borderId="2" xfId="0" applyFont="1" applyFill="1" applyBorder="1" applyAlignment="1">
      <alignment horizontal="center" vertical="center" textRotation="90" wrapText="1"/>
    </xf>
    <xf numFmtId="0" fontId="11" fillId="5" borderId="3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1" fillId="4" borderId="12" xfId="0" applyFont="1" applyFill="1" applyBorder="1" applyAlignment="1">
      <alignment horizontal="left" vertical="top" wrapText="1"/>
    </xf>
    <xf numFmtId="0" fontId="11" fillId="4" borderId="7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center" wrapText="1"/>
    </xf>
    <xf numFmtId="165" fontId="10" fillId="0" borderId="9" xfId="0" applyNumberFormat="1" applyFont="1" applyBorder="1" applyAlignment="1">
      <alignment horizontal="center" vertical="top" shrinkToFit="1"/>
    </xf>
    <xf numFmtId="165" fontId="10" fillId="0" borderId="6" xfId="0" applyNumberFormat="1" applyFont="1" applyBorder="1" applyAlignment="1">
      <alignment horizontal="center" vertical="top" shrinkToFit="1"/>
    </xf>
    <xf numFmtId="165" fontId="10" fillId="0" borderId="7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4" borderId="11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C8B9B839-DAA9-4C5C-898E-3B12EE6160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204215</xdr:colOff>
      <xdr:row>96</xdr:row>
      <xdr:rowOff>201699</xdr:rowOff>
    </xdr:from>
    <xdr:ext cx="9690735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5A423806-E9A2-4FE8-AE45-8A2687984674}"/>
            </a:ext>
          </a:extLst>
        </xdr:cNvPr>
        <xdr:cNvSpPr/>
      </xdr:nvSpPr>
      <xdr:spPr>
        <a:xfrm>
          <a:off x="204215" y="30624549"/>
          <a:ext cx="9690735" cy="0"/>
        </a:xfrm>
        <a:custGeom>
          <a:avLst/>
          <a:gdLst/>
          <a:ahLst/>
          <a:cxnLst/>
          <a:rect l="0" t="0" r="0" b="0"/>
          <a:pathLst>
            <a:path w="9690735">
              <a:moveTo>
                <a:pt x="0" y="0"/>
              </a:moveTo>
              <a:lnTo>
                <a:pt x="9690522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  <xdr:oneCellAnchor>
    <xdr:from>
      <xdr:col>0</xdr:col>
      <xdr:colOff>204215</xdr:colOff>
      <xdr:row>96</xdr:row>
      <xdr:rowOff>405915</xdr:rowOff>
    </xdr:from>
    <xdr:ext cx="9339580" cy="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7CB6580C-E22A-4641-B953-A30F6725E450}"/>
            </a:ext>
          </a:extLst>
        </xdr:cNvPr>
        <xdr:cNvSpPr/>
      </xdr:nvSpPr>
      <xdr:spPr>
        <a:xfrm>
          <a:off x="204215" y="30828765"/>
          <a:ext cx="9339580" cy="0"/>
        </a:xfrm>
        <a:custGeom>
          <a:avLst/>
          <a:gdLst/>
          <a:ahLst/>
          <a:cxnLst/>
          <a:rect l="0" t="0" r="0" b="0"/>
          <a:pathLst>
            <a:path w="9339580">
              <a:moveTo>
                <a:pt x="0" y="0"/>
              </a:moveTo>
              <a:lnTo>
                <a:pt x="9339580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204215</xdr:colOff>
      <xdr:row>96</xdr:row>
      <xdr:rowOff>201699</xdr:rowOff>
    </xdr:from>
    <xdr:ext cx="969073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690735" cy="0"/>
        </a:xfrm>
        <a:custGeom>
          <a:avLst/>
          <a:gdLst/>
          <a:ahLst/>
          <a:cxnLst/>
          <a:rect l="0" t="0" r="0" b="0"/>
          <a:pathLst>
            <a:path w="9690735">
              <a:moveTo>
                <a:pt x="0" y="0"/>
              </a:moveTo>
              <a:lnTo>
                <a:pt x="9690522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  <xdr:oneCellAnchor>
    <xdr:from>
      <xdr:col>0</xdr:col>
      <xdr:colOff>204215</xdr:colOff>
      <xdr:row>96</xdr:row>
      <xdr:rowOff>405915</xdr:rowOff>
    </xdr:from>
    <xdr:ext cx="933958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339580" cy="0"/>
        </a:xfrm>
        <a:custGeom>
          <a:avLst/>
          <a:gdLst/>
          <a:ahLst/>
          <a:cxnLst/>
          <a:rect l="0" t="0" r="0" b="0"/>
          <a:pathLst>
            <a:path w="9339580">
              <a:moveTo>
                <a:pt x="0" y="0"/>
              </a:moveTo>
              <a:lnTo>
                <a:pt x="9339580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204215</xdr:colOff>
      <xdr:row>105</xdr:row>
      <xdr:rowOff>201699</xdr:rowOff>
    </xdr:from>
    <xdr:ext cx="9690735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F033C4D-9E5D-4573-AFDA-537462C54A04}"/>
            </a:ext>
          </a:extLst>
        </xdr:cNvPr>
        <xdr:cNvSpPr/>
      </xdr:nvSpPr>
      <xdr:spPr>
        <a:xfrm>
          <a:off x="204215" y="30624549"/>
          <a:ext cx="9690735" cy="0"/>
        </a:xfrm>
        <a:custGeom>
          <a:avLst/>
          <a:gdLst/>
          <a:ahLst/>
          <a:cxnLst/>
          <a:rect l="0" t="0" r="0" b="0"/>
          <a:pathLst>
            <a:path w="9690735">
              <a:moveTo>
                <a:pt x="0" y="0"/>
              </a:moveTo>
              <a:lnTo>
                <a:pt x="9690522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  <xdr:oneCellAnchor>
    <xdr:from>
      <xdr:col>0</xdr:col>
      <xdr:colOff>204215</xdr:colOff>
      <xdr:row>105</xdr:row>
      <xdr:rowOff>405915</xdr:rowOff>
    </xdr:from>
    <xdr:ext cx="933958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F5DD4047-3432-48A5-92C5-5003B094C77D}"/>
            </a:ext>
          </a:extLst>
        </xdr:cNvPr>
        <xdr:cNvSpPr/>
      </xdr:nvSpPr>
      <xdr:spPr>
        <a:xfrm>
          <a:off x="204215" y="30828765"/>
          <a:ext cx="9339580" cy="0"/>
        </a:xfrm>
        <a:custGeom>
          <a:avLst/>
          <a:gdLst/>
          <a:ahLst/>
          <a:cxnLst/>
          <a:rect l="0" t="0" r="0" b="0"/>
          <a:pathLst>
            <a:path w="9339580">
              <a:moveTo>
                <a:pt x="0" y="0"/>
              </a:moveTo>
              <a:lnTo>
                <a:pt x="9339580" y="0"/>
              </a:lnTo>
            </a:path>
          </a:pathLst>
        </a:custGeom>
        <a:ln w="713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8"/>
  <sheetViews>
    <sheetView tabSelected="1" topLeftCell="A42" zoomScaleNormal="100" workbookViewId="0">
      <selection activeCell="G41" sqref="G41"/>
    </sheetView>
  </sheetViews>
  <sheetFormatPr defaultColWidth="9.33203125" defaultRowHeight="15.75" x14ac:dyDescent="0.2"/>
  <cols>
    <col min="1" max="1" width="6.5" style="7" customWidth="1"/>
    <col min="2" max="2" width="22.5" style="7" customWidth="1"/>
    <col min="3" max="3" width="15.6640625" style="7" customWidth="1"/>
    <col min="4" max="4" width="19.5" style="7" customWidth="1"/>
    <col min="5" max="5" width="14.1640625" style="7" customWidth="1"/>
    <col min="6" max="6" width="11.5" style="7" customWidth="1"/>
    <col min="7" max="7" width="10.5" style="7" customWidth="1"/>
    <col min="8" max="20" width="12.6640625" style="7" customWidth="1"/>
    <col min="21" max="22" width="10.5" style="7" customWidth="1"/>
    <col min="23" max="23" width="5.83203125" style="7" customWidth="1"/>
    <col min="24" max="24" width="3.33203125" style="7" customWidth="1"/>
    <col min="25" max="16384" width="9.33203125" style="7"/>
  </cols>
  <sheetData>
    <row r="1" spans="1:21" ht="48.75" customHeight="1" x14ac:dyDescent="0.2">
      <c r="A1" s="128" t="s">
        <v>150</v>
      </c>
      <c r="B1" s="128"/>
      <c r="C1" s="128"/>
      <c r="D1" s="128"/>
      <c r="E1" s="128"/>
      <c r="F1" s="128"/>
      <c r="G1" s="128"/>
      <c r="H1" s="128"/>
      <c r="I1" s="128"/>
    </row>
    <row r="2" spans="1:21" ht="25.5" customHeight="1" x14ac:dyDescent="0.2">
      <c r="A2" s="125" t="s">
        <v>145</v>
      </c>
      <c r="B2" s="125"/>
      <c r="C2" s="125"/>
      <c r="D2" s="125"/>
      <c r="E2" s="125"/>
      <c r="F2" s="125"/>
      <c r="G2" s="125"/>
      <c r="H2" s="125"/>
      <c r="I2" s="125"/>
      <c r="J2" s="126">
        <v>46073</v>
      </c>
      <c r="K2" s="127"/>
      <c r="L2" s="127"/>
      <c r="M2" s="14"/>
      <c r="N2" s="14"/>
      <c r="O2" s="14"/>
      <c r="P2" s="14"/>
      <c r="Q2" s="14"/>
      <c r="R2" s="14"/>
      <c r="S2" s="14"/>
      <c r="T2" s="14"/>
      <c r="U2" s="14"/>
    </row>
    <row r="3" spans="1:21" ht="18" customHeight="1" x14ac:dyDescent="0.25">
      <c r="A3" s="178" t="s">
        <v>19</v>
      </c>
      <c r="B3" s="180" t="s">
        <v>20</v>
      </c>
      <c r="C3" s="194"/>
      <c r="D3" s="194"/>
      <c r="E3" s="181"/>
      <c r="F3" s="178" t="s">
        <v>21</v>
      </c>
      <c r="G3" s="178" t="s">
        <v>22</v>
      </c>
      <c r="H3" s="201" t="s">
        <v>146</v>
      </c>
      <c r="I3" s="195" t="s">
        <v>17</v>
      </c>
      <c r="J3" s="196"/>
      <c r="K3" s="196"/>
      <c r="L3" s="197"/>
      <c r="M3" s="195" t="s">
        <v>18</v>
      </c>
      <c r="N3" s="196"/>
      <c r="O3" s="196"/>
      <c r="P3" s="197"/>
      <c r="Q3" s="163" t="s">
        <v>147</v>
      </c>
      <c r="R3" s="165" t="s">
        <v>148</v>
      </c>
      <c r="S3" s="167" t="s">
        <v>23</v>
      </c>
      <c r="T3" s="168" t="s">
        <v>24</v>
      </c>
      <c r="U3" s="11"/>
    </row>
    <row r="4" spans="1:21" s="10" customFormat="1" ht="147.75" customHeight="1" x14ac:dyDescent="0.25">
      <c r="A4" s="179"/>
      <c r="B4" s="182"/>
      <c r="C4" s="189"/>
      <c r="D4" s="189"/>
      <c r="E4" s="183"/>
      <c r="F4" s="179"/>
      <c r="G4" s="179"/>
      <c r="H4" s="202"/>
      <c r="I4" s="8" t="s">
        <v>11</v>
      </c>
      <c r="J4" s="4" t="s">
        <v>16</v>
      </c>
      <c r="K4" s="5" t="s">
        <v>12</v>
      </c>
      <c r="L4" s="48" t="s">
        <v>151</v>
      </c>
      <c r="M4" s="49" t="s">
        <v>152</v>
      </c>
      <c r="N4" s="8" t="s">
        <v>14</v>
      </c>
      <c r="O4" s="8" t="s">
        <v>15</v>
      </c>
      <c r="P4" s="50" t="s">
        <v>13</v>
      </c>
      <c r="Q4" s="164"/>
      <c r="R4" s="166"/>
      <c r="S4" s="167"/>
      <c r="T4" s="168"/>
      <c r="U4" s="9"/>
    </row>
    <row r="5" spans="1:21" ht="12.75" customHeight="1" x14ac:dyDescent="0.25">
      <c r="A5" s="27">
        <v>1</v>
      </c>
      <c r="B5" s="198">
        <v>2</v>
      </c>
      <c r="C5" s="199"/>
      <c r="D5" s="199"/>
      <c r="E5" s="200"/>
      <c r="F5" s="18">
        <v>3</v>
      </c>
      <c r="G5" s="20">
        <v>4</v>
      </c>
      <c r="H5" s="41">
        <v>5</v>
      </c>
      <c r="I5" s="20">
        <v>6</v>
      </c>
      <c r="J5" s="18">
        <v>7</v>
      </c>
      <c r="K5" s="18">
        <v>8</v>
      </c>
      <c r="L5" s="39">
        <v>9</v>
      </c>
      <c r="M5" s="43">
        <v>10</v>
      </c>
      <c r="N5" s="20">
        <v>11</v>
      </c>
      <c r="O5" s="20">
        <v>12</v>
      </c>
      <c r="P5" s="40">
        <v>13</v>
      </c>
      <c r="Q5" s="40">
        <v>14</v>
      </c>
      <c r="R5" s="42">
        <v>15</v>
      </c>
      <c r="S5" s="47">
        <v>16</v>
      </c>
      <c r="T5" s="38">
        <v>17</v>
      </c>
      <c r="U5" s="11"/>
    </row>
    <row r="6" spans="1:21" ht="30.75" customHeight="1" x14ac:dyDescent="0.2">
      <c r="A6" s="15">
        <v>1</v>
      </c>
      <c r="B6" s="138" t="s">
        <v>135</v>
      </c>
      <c r="C6" s="139"/>
      <c r="D6" s="139"/>
      <c r="E6" s="140"/>
      <c r="F6" s="17" t="s">
        <v>25</v>
      </c>
      <c r="G6" s="30" t="s">
        <v>29</v>
      </c>
      <c r="H6" s="68">
        <v>3646</v>
      </c>
      <c r="I6" s="69">
        <f>$G41</f>
        <v>3552</v>
      </c>
      <c r="J6" s="69">
        <f>$G48</f>
        <v>71</v>
      </c>
      <c r="K6" s="69">
        <f>$G51</f>
        <v>0</v>
      </c>
      <c r="L6" s="70">
        <f>SUM(I6:K6)</f>
        <v>3623</v>
      </c>
      <c r="M6" s="69">
        <f>$G53</f>
        <v>3369</v>
      </c>
      <c r="N6" s="69">
        <f>$G56</f>
        <v>147</v>
      </c>
      <c r="O6" s="69">
        <f>$G59</f>
        <v>2364</v>
      </c>
      <c r="P6" s="71">
        <f>SUM(M6:O6)</f>
        <v>5880</v>
      </c>
      <c r="Q6" s="72">
        <f>H6+L6-P6</f>
        <v>1389</v>
      </c>
      <c r="R6" s="73">
        <f>M6+S6</f>
        <v>3369</v>
      </c>
      <c r="S6" s="74">
        <v>0</v>
      </c>
      <c r="T6" s="75">
        <v>0</v>
      </c>
      <c r="U6" s="12"/>
    </row>
    <row r="7" spans="1:21" ht="36.75" hidden="1" customHeight="1" x14ac:dyDescent="0.2">
      <c r="A7" s="15"/>
      <c r="B7" s="19" t="s">
        <v>1</v>
      </c>
      <c r="C7" s="35"/>
      <c r="D7" s="36"/>
      <c r="E7" s="35"/>
      <c r="F7" s="17"/>
      <c r="G7" s="30" t="s">
        <v>29</v>
      </c>
      <c r="H7" s="68">
        <f ca="1">январь!Q7</f>
        <v>-172</v>
      </c>
      <c r="I7" s="76"/>
      <c r="J7" s="77"/>
      <c r="K7" s="78"/>
      <c r="L7" s="70">
        <f t="shared" ref="L7:L26" si="0">SUM(I7:K7)</f>
        <v>0</v>
      </c>
      <c r="M7" s="69">
        <f t="shared" ref="M7:M14" ca="1" si="1">R7-S7</f>
        <v>0</v>
      </c>
      <c r="N7" s="79">
        <v>14</v>
      </c>
      <c r="O7" s="79">
        <v>158</v>
      </c>
      <c r="P7" s="71">
        <f t="shared" ref="P7:P26" ca="1" si="2">SUM(M7:O7)</f>
        <v>172</v>
      </c>
      <c r="Q7" s="72">
        <f t="shared" ref="Q7:Q26" ca="1" si="3">H7+L7-P7</f>
        <v>-344</v>
      </c>
      <c r="R7" s="73">
        <f t="shared" ref="R7:R26" ca="1" si="4">M7+S7</f>
        <v>0</v>
      </c>
      <c r="S7" s="74">
        <v>0</v>
      </c>
      <c r="T7" s="75">
        <v>0</v>
      </c>
      <c r="U7" s="12"/>
    </row>
    <row r="8" spans="1:21" ht="36.75" hidden="1" customHeight="1" x14ac:dyDescent="0.2">
      <c r="A8" s="15"/>
      <c r="B8" s="19" t="s">
        <v>2</v>
      </c>
      <c r="C8" s="35"/>
      <c r="D8" s="36"/>
      <c r="E8" s="35"/>
      <c r="F8" s="17"/>
      <c r="G8" s="30" t="s">
        <v>29</v>
      </c>
      <c r="H8" s="68">
        <f ca="1">январь!Q8</f>
        <v>0</v>
      </c>
      <c r="I8" s="76"/>
      <c r="J8" s="77"/>
      <c r="K8" s="78"/>
      <c r="L8" s="70">
        <f t="shared" si="0"/>
        <v>0</v>
      </c>
      <c r="M8" s="69">
        <f t="shared" ca="1" si="1"/>
        <v>0</v>
      </c>
      <c r="N8" s="79"/>
      <c r="O8" s="79"/>
      <c r="P8" s="71">
        <f t="shared" ca="1" si="2"/>
        <v>0</v>
      </c>
      <c r="Q8" s="72">
        <f t="shared" ca="1" si="3"/>
        <v>2966</v>
      </c>
      <c r="R8" s="73">
        <f t="shared" ca="1" si="4"/>
        <v>0</v>
      </c>
      <c r="S8" s="74">
        <v>0</v>
      </c>
      <c r="T8" s="75">
        <v>0</v>
      </c>
      <c r="U8" s="12"/>
    </row>
    <row r="9" spans="1:21" ht="36.75" hidden="1" customHeight="1" x14ac:dyDescent="0.2">
      <c r="A9" s="15"/>
      <c r="B9" s="19" t="s">
        <v>3</v>
      </c>
      <c r="C9" s="35"/>
      <c r="D9" s="36"/>
      <c r="E9" s="35"/>
      <c r="F9" s="17"/>
      <c r="G9" s="30" t="s">
        <v>29</v>
      </c>
      <c r="H9" s="68">
        <f ca="1">январь!Q9</f>
        <v>0</v>
      </c>
      <c r="I9" s="76"/>
      <c r="J9" s="77"/>
      <c r="K9" s="78"/>
      <c r="L9" s="70">
        <f t="shared" si="0"/>
        <v>0</v>
      </c>
      <c r="M9" s="69">
        <f t="shared" ca="1" si="1"/>
        <v>0</v>
      </c>
      <c r="N9" s="79"/>
      <c r="O9" s="79"/>
      <c r="P9" s="71">
        <f t="shared" ca="1" si="2"/>
        <v>0</v>
      </c>
      <c r="Q9" s="72">
        <f t="shared" ca="1" si="3"/>
        <v>0</v>
      </c>
      <c r="R9" s="73">
        <f t="shared" ca="1" si="4"/>
        <v>0</v>
      </c>
      <c r="S9" s="74">
        <v>0</v>
      </c>
      <c r="T9" s="75">
        <v>0</v>
      </c>
      <c r="U9" s="12"/>
    </row>
    <row r="10" spans="1:21" ht="36.75" hidden="1" customHeight="1" x14ac:dyDescent="0.2">
      <c r="A10" s="15"/>
      <c r="B10" s="19" t="s">
        <v>4</v>
      </c>
      <c r="C10" s="35"/>
      <c r="D10" s="36"/>
      <c r="E10" s="35"/>
      <c r="F10" s="17"/>
      <c r="G10" s="30" t="s">
        <v>29</v>
      </c>
      <c r="H10" s="68">
        <f ca="1">январь!Q10</f>
        <v>0</v>
      </c>
      <c r="I10" s="76"/>
      <c r="J10" s="77"/>
      <c r="K10" s="78"/>
      <c r="L10" s="70">
        <f t="shared" si="0"/>
        <v>0</v>
      </c>
      <c r="M10" s="69">
        <f t="shared" ca="1" si="1"/>
        <v>0</v>
      </c>
      <c r="N10" s="79"/>
      <c r="O10" s="79"/>
      <c r="P10" s="71">
        <f t="shared" ca="1" si="2"/>
        <v>0</v>
      </c>
      <c r="Q10" s="72">
        <f t="shared" ca="1" si="3"/>
        <v>0</v>
      </c>
      <c r="R10" s="73">
        <f t="shared" ca="1" si="4"/>
        <v>0</v>
      </c>
      <c r="S10" s="74">
        <v>0</v>
      </c>
      <c r="T10" s="75">
        <v>0</v>
      </c>
      <c r="U10" s="12"/>
    </row>
    <row r="11" spans="1:21" ht="36.75" hidden="1" customHeight="1" x14ac:dyDescent="0.2">
      <c r="A11" s="15"/>
      <c r="B11" s="19" t="s">
        <v>5</v>
      </c>
      <c r="C11" s="35"/>
      <c r="D11" s="36"/>
      <c r="E11" s="35"/>
      <c r="F11" s="17"/>
      <c r="G11" s="30" t="s">
        <v>29</v>
      </c>
      <c r="H11" s="68">
        <f ca="1">январь!Q11</f>
        <v>4034</v>
      </c>
      <c r="I11" s="76">
        <v>3763</v>
      </c>
      <c r="J11" s="77">
        <v>271</v>
      </c>
      <c r="K11" s="78"/>
      <c r="L11" s="70">
        <f t="shared" si="0"/>
        <v>4034</v>
      </c>
      <c r="M11" s="69">
        <f t="shared" ca="1" si="1"/>
        <v>4235</v>
      </c>
      <c r="N11" s="79"/>
      <c r="O11" s="79"/>
      <c r="P11" s="71">
        <f t="shared" ca="1" si="2"/>
        <v>0</v>
      </c>
      <c r="Q11" s="72">
        <f t="shared" ca="1" si="3"/>
        <v>8068</v>
      </c>
      <c r="R11" s="73">
        <f t="shared" ca="1" si="4"/>
        <v>4235</v>
      </c>
      <c r="S11" s="74">
        <v>0</v>
      </c>
      <c r="T11" s="75">
        <v>0</v>
      </c>
      <c r="U11" s="12"/>
    </row>
    <row r="12" spans="1:21" ht="31.5" hidden="1" customHeight="1" x14ac:dyDescent="0.2">
      <c r="A12" s="15"/>
      <c r="B12" s="19"/>
      <c r="C12" s="35"/>
      <c r="D12" s="36"/>
      <c r="E12" s="35"/>
      <c r="F12" s="17"/>
      <c r="G12" s="30" t="s">
        <v>29</v>
      </c>
      <c r="H12" s="68">
        <f ca="1">январь!Q12</f>
        <v>0</v>
      </c>
      <c r="I12" s="76"/>
      <c r="J12" s="77"/>
      <c r="K12" s="78"/>
      <c r="L12" s="70">
        <f t="shared" si="0"/>
        <v>0</v>
      </c>
      <c r="M12" s="69">
        <f t="shared" ca="1" si="1"/>
        <v>0</v>
      </c>
      <c r="N12" s="79"/>
      <c r="O12" s="79"/>
      <c r="P12" s="71">
        <f t="shared" ca="1" si="2"/>
        <v>0</v>
      </c>
      <c r="Q12" s="72">
        <f t="shared" ca="1" si="3"/>
        <v>2966</v>
      </c>
      <c r="R12" s="73">
        <f t="shared" ca="1" si="4"/>
        <v>0</v>
      </c>
      <c r="S12" s="74">
        <v>0</v>
      </c>
      <c r="T12" s="75">
        <v>0</v>
      </c>
      <c r="U12" s="12"/>
    </row>
    <row r="13" spans="1:21" ht="35.25" hidden="1" customHeight="1" x14ac:dyDescent="0.2">
      <c r="A13" s="15"/>
      <c r="B13" s="19"/>
      <c r="C13" s="35"/>
      <c r="D13" s="36"/>
      <c r="E13" s="35"/>
      <c r="F13" s="17"/>
      <c r="G13" s="30" t="s">
        <v>29</v>
      </c>
      <c r="H13" s="68">
        <f ca="1">январь!Q13</f>
        <v>0</v>
      </c>
      <c r="I13" s="76"/>
      <c r="J13" s="77"/>
      <c r="K13" s="78"/>
      <c r="L13" s="70">
        <f t="shared" si="0"/>
        <v>0</v>
      </c>
      <c r="M13" s="69">
        <f t="shared" ca="1" si="1"/>
        <v>0</v>
      </c>
      <c r="N13" s="79"/>
      <c r="O13" s="79"/>
      <c r="P13" s="71">
        <f t="shared" ca="1" si="2"/>
        <v>0</v>
      </c>
      <c r="Q13" s="72">
        <f t="shared" ca="1" si="3"/>
        <v>0</v>
      </c>
      <c r="R13" s="73">
        <f t="shared" ca="1" si="4"/>
        <v>0</v>
      </c>
      <c r="S13" s="74">
        <v>0</v>
      </c>
      <c r="T13" s="75">
        <v>0</v>
      </c>
      <c r="U13" s="12"/>
    </row>
    <row r="14" spans="1:21" ht="35.25" hidden="1" customHeight="1" x14ac:dyDescent="0.2">
      <c r="A14" s="15"/>
      <c r="B14" s="19"/>
      <c r="C14" s="35"/>
      <c r="D14" s="36"/>
      <c r="E14" s="35"/>
      <c r="F14" s="17"/>
      <c r="G14" s="30" t="s">
        <v>29</v>
      </c>
      <c r="H14" s="68">
        <f ca="1">январь!Q14</f>
        <v>0</v>
      </c>
      <c r="I14" s="76"/>
      <c r="J14" s="77"/>
      <c r="K14" s="78"/>
      <c r="L14" s="70">
        <f t="shared" si="0"/>
        <v>0</v>
      </c>
      <c r="M14" s="69">
        <f t="shared" ca="1" si="1"/>
        <v>0</v>
      </c>
      <c r="N14" s="79"/>
      <c r="O14" s="79"/>
      <c r="P14" s="71">
        <f t="shared" ca="1" si="2"/>
        <v>0</v>
      </c>
      <c r="Q14" s="72">
        <f t="shared" ca="1" si="3"/>
        <v>0</v>
      </c>
      <c r="R14" s="73">
        <f t="shared" ca="1" si="4"/>
        <v>0</v>
      </c>
      <c r="S14" s="74">
        <v>0</v>
      </c>
      <c r="T14" s="75">
        <v>0</v>
      </c>
      <c r="U14" s="12"/>
    </row>
    <row r="15" spans="1:21" ht="31.5" customHeight="1" x14ac:dyDescent="0.2">
      <c r="A15" s="15">
        <v>2</v>
      </c>
      <c r="B15" s="138" t="s">
        <v>136</v>
      </c>
      <c r="C15" s="139"/>
      <c r="D15" s="139"/>
      <c r="E15" s="140"/>
      <c r="F15" s="17" t="s">
        <v>25</v>
      </c>
      <c r="G15" s="30" t="s">
        <v>29</v>
      </c>
      <c r="H15" s="68">
        <f>январь!Q15</f>
        <v>0</v>
      </c>
      <c r="I15" s="81">
        <v>0</v>
      </c>
      <c r="J15" s="82">
        <v>0</v>
      </c>
      <c r="K15" s="82">
        <v>0</v>
      </c>
      <c r="L15" s="70">
        <f t="shared" si="0"/>
        <v>0</v>
      </c>
      <c r="M15" s="81">
        <v>0</v>
      </c>
      <c r="N15" s="81">
        <v>0</v>
      </c>
      <c r="O15" s="81">
        <v>0</v>
      </c>
      <c r="P15" s="71">
        <f t="shared" si="2"/>
        <v>0</v>
      </c>
      <c r="Q15" s="72">
        <f t="shared" si="3"/>
        <v>0</v>
      </c>
      <c r="R15" s="73">
        <f t="shared" si="4"/>
        <v>0</v>
      </c>
      <c r="S15" s="74">
        <v>0</v>
      </c>
      <c r="T15" s="75">
        <v>0</v>
      </c>
      <c r="U15" s="12"/>
    </row>
    <row r="16" spans="1:21" ht="31.5" customHeight="1" x14ac:dyDescent="0.2">
      <c r="A16" s="15">
        <v>3</v>
      </c>
      <c r="B16" s="169" t="s">
        <v>26</v>
      </c>
      <c r="C16" s="175"/>
      <c r="D16" s="175"/>
      <c r="E16" s="170"/>
      <c r="F16" s="17" t="s">
        <v>25</v>
      </c>
      <c r="G16" s="30" t="s">
        <v>29</v>
      </c>
      <c r="H16" s="68">
        <f>январь!Q16</f>
        <v>2452</v>
      </c>
      <c r="I16" s="69">
        <f>$H41</f>
        <v>3071</v>
      </c>
      <c r="J16" s="69">
        <f>$H48</f>
        <v>160</v>
      </c>
      <c r="K16" s="69">
        <f>$H51</f>
        <v>0</v>
      </c>
      <c r="L16" s="70">
        <f t="shared" si="0"/>
        <v>3231</v>
      </c>
      <c r="M16" s="69">
        <f>$H53</f>
        <v>3537</v>
      </c>
      <c r="N16" s="69">
        <f>$H56</f>
        <v>0</v>
      </c>
      <c r="O16" s="69">
        <f>$H59</f>
        <v>0</v>
      </c>
      <c r="P16" s="71">
        <f t="shared" si="2"/>
        <v>3537</v>
      </c>
      <c r="Q16" s="72">
        <f t="shared" si="3"/>
        <v>2146</v>
      </c>
      <c r="R16" s="73">
        <f t="shared" si="4"/>
        <v>3537</v>
      </c>
      <c r="S16" s="74">
        <v>0</v>
      </c>
      <c r="T16" s="75">
        <v>0</v>
      </c>
      <c r="U16" s="12"/>
    </row>
    <row r="17" spans="1:21" ht="31.5" customHeight="1" x14ac:dyDescent="0.2">
      <c r="A17" s="15">
        <v>4</v>
      </c>
      <c r="B17" s="169" t="s">
        <v>27</v>
      </c>
      <c r="C17" s="175"/>
      <c r="D17" s="175"/>
      <c r="E17" s="170"/>
      <c r="F17" s="17" t="s">
        <v>25</v>
      </c>
      <c r="G17" s="30" t="s">
        <v>29</v>
      </c>
      <c r="H17" s="68">
        <f>январь!Q17</f>
        <v>159</v>
      </c>
      <c r="I17" s="69">
        <f>$I41</f>
        <v>715</v>
      </c>
      <c r="J17" s="69">
        <f>$I48</f>
        <v>0</v>
      </c>
      <c r="K17" s="69">
        <f>$I51</f>
        <v>0</v>
      </c>
      <c r="L17" s="70">
        <f t="shared" si="0"/>
        <v>715</v>
      </c>
      <c r="M17" s="69">
        <f>$I53</f>
        <v>744</v>
      </c>
      <c r="N17" s="69">
        <f>$I56</f>
        <v>0</v>
      </c>
      <c r="O17" s="69">
        <f>$I59</f>
        <v>0</v>
      </c>
      <c r="P17" s="71">
        <f t="shared" si="2"/>
        <v>744</v>
      </c>
      <c r="Q17" s="72">
        <f t="shared" si="3"/>
        <v>130</v>
      </c>
      <c r="R17" s="73">
        <f t="shared" si="4"/>
        <v>744</v>
      </c>
      <c r="S17" s="74">
        <v>0</v>
      </c>
      <c r="T17" s="75">
        <v>0</v>
      </c>
      <c r="U17" s="12"/>
    </row>
    <row r="18" spans="1:21" ht="32.25" customHeight="1" x14ac:dyDescent="0.25">
      <c r="A18" s="15">
        <v>5</v>
      </c>
      <c r="B18" s="169" t="s">
        <v>28</v>
      </c>
      <c r="C18" s="175"/>
      <c r="D18" s="175"/>
      <c r="E18" s="170"/>
      <c r="F18" s="17" t="s">
        <v>25</v>
      </c>
      <c r="G18" s="30" t="s">
        <v>29</v>
      </c>
      <c r="H18" s="68">
        <v>0</v>
      </c>
      <c r="I18" s="52">
        <f>$J41</f>
        <v>6.5</v>
      </c>
      <c r="J18" s="52">
        <f>$J48</f>
        <v>0</v>
      </c>
      <c r="K18" s="52">
        <f>$J51</f>
        <v>0</v>
      </c>
      <c r="L18" s="53">
        <f t="shared" si="0"/>
        <v>6.5</v>
      </c>
      <c r="M18" s="52">
        <f>$J53</f>
        <v>6.5</v>
      </c>
      <c r="N18" s="52">
        <f>$J56</f>
        <v>0</v>
      </c>
      <c r="O18" s="52">
        <f>$J59</f>
        <v>0</v>
      </c>
      <c r="P18" s="54">
        <f t="shared" si="2"/>
        <v>6.5</v>
      </c>
      <c r="Q18" s="55">
        <f t="shared" si="3"/>
        <v>0</v>
      </c>
      <c r="R18" s="56">
        <f t="shared" si="4"/>
        <v>6.5</v>
      </c>
      <c r="S18" s="74">
        <v>0</v>
      </c>
      <c r="T18" s="75">
        <v>0</v>
      </c>
      <c r="U18" s="11"/>
    </row>
    <row r="19" spans="1:21" ht="30.75" customHeight="1" x14ac:dyDescent="0.2">
      <c r="A19" s="15">
        <v>6</v>
      </c>
      <c r="B19" s="138" t="s">
        <v>137</v>
      </c>
      <c r="C19" s="139"/>
      <c r="D19" s="139"/>
      <c r="E19" s="140"/>
      <c r="F19" s="17" t="s">
        <v>25</v>
      </c>
      <c r="G19" s="30" t="s">
        <v>29</v>
      </c>
      <c r="H19" s="68">
        <f>январь!Q19</f>
        <v>0</v>
      </c>
      <c r="I19" s="59">
        <f>$L41</f>
        <v>0</v>
      </c>
      <c r="J19" s="59">
        <f>$L48</f>
        <v>0</v>
      </c>
      <c r="K19" s="59">
        <f>$L51</f>
        <v>0</v>
      </c>
      <c r="L19" s="53">
        <f t="shared" si="0"/>
        <v>0</v>
      </c>
      <c r="M19" s="59">
        <f>$L53</f>
        <v>0</v>
      </c>
      <c r="N19" s="59">
        <f>$L56</f>
        <v>0</v>
      </c>
      <c r="O19" s="59">
        <f>$L59</f>
        <v>0</v>
      </c>
      <c r="P19" s="54">
        <f t="shared" si="2"/>
        <v>0</v>
      </c>
      <c r="Q19" s="55">
        <f t="shared" si="3"/>
        <v>0</v>
      </c>
      <c r="R19" s="56">
        <f t="shared" si="4"/>
        <v>0</v>
      </c>
      <c r="S19" s="74">
        <v>0</v>
      </c>
      <c r="T19" s="75">
        <v>0</v>
      </c>
      <c r="U19" s="12"/>
    </row>
    <row r="20" spans="1:21" ht="36" customHeight="1" x14ac:dyDescent="0.2">
      <c r="A20" s="15">
        <v>7</v>
      </c>
      <c r="B20" s="138" t="s">
        <v>138</v>
      </c>
      <c r="C20" s="139"/>
      <c r="D20" s="139"/>
      <c r="E20" s="140"/>
      <c r="F20" s="17" t="s">
        <v>25</v>
      </c>
      <c r="G20" s="30" t="s">
        <v>29</v>
      </c>
      <c r="H20" s="68">
        <f>январь!Q20</f>
        <v>0</v>
      </c>
      <c r="I20" s="59">
        <f>$Q41</f>
        <v>0</v>
      </c>
      <c r="J20" s="59">
        <f>$Q48</f>
        <v>0</v>
      </c>
      <c r="K20" s="59">
        <f>$Q51</f>
        <v>0</v>
      </c>
      <c r="L20" s="53">
        <f t="shared" si="0"/>
        <v>0</v>
      </c>
      <c r="M20" s="59">
        <f>$Q53</f>
        <v>0</v>
      </c>
      <c r="N20" s="59">
        <f>$Q56</f>
        <v>0</v>
      </c>
      <c r="O20" s="59">
        <f>$Q59</f>
        <v>0</v>
      </c>
      <c r="P20" s="54">
        <f t="shared" si="2"/>
        <v>0</v>
      </c>
      <c r="Q20" s="55">
        <f t="shared" si="3"/>
        <v>0</v>
      </c>
      <c r="R20" s="56">
        <f t="shared" si="4"/>
        <v>0</v>
      </c>
      <c r="S20" s="74">
        <v>0</v>
      </c>
      <c r="T20" s="75">
        <v>0</v>
      </c>
      <c r="U20" s="12"/>
    </row>
    <row r="21" spans="1:21" ht="32.25" customHeight="1" x14ac:dyDescent="0.2">
      <c r="A21" s="15">
        <v>8</v>
      </c>
      <c r="B21" s="138" t="s">
        <v>139</v>
      </c>
      <c r="C21" s="192"/>
      <c r="D21" s="192"/>
      <c r="E21" s="193"/>
      <c r="F21" s="17" t="s">
        <v>25</v>
      </c>
      <c r="G21" s="30" t="s">
        <v>29</v>
      </c>
      <c r="H21" s="68">
        <f>январь!Q21</f>
        <v>0</v>
      </c>
      <c r="I21" s="59">
        <f>$S41</f>
        <v>0</v>
      </c>
      <c r="J21" s="59">
        <f>$S48</f>
        <v>0</v>
      </c>
      <c r="K21" s="59">
        <f>$S51</f>
        <v>0</v>
      </c>
      <c r="L21" s="53">
        <f t="shared" si="0"/>
        <v>0</v>
      </c>
      <c r="M21" s="59">
        <f>$S53</f>
        <v>0</v>
      </c>
      <c r="N21" s="59">
        <f>$S56</f>
        <v>0</v>
      </c>
      <c r="O21" s="59">
        <f>$S59</f>
        <v>0</v>
      </c>
      <c r="P21" s="54">
        <f t="shared" si="2"/>
        <v>0</v>
      </c>
      <c r="Q21" s="55">
        <f t="shared" si="3"/>
        <v>0</v>
      </c>
      <c r="R21" s="56">
        <f t="shared" si="4"/>
        <v>0</v>
      </c>
      <c r="S21" s="74">
        <v>0</v>
      </c>
      <c r="T21" s="75">
        <v>0</v>
      </c>
      <c r="U21" s="12"/>
    </row>
    <row r="22" spans="1:21" ht="31.5" customHeight="1" x14ac:dyDescent="0.2">
      <c r="A22" s="15">
        <v>9</v>
      </c>
      <c r="B22" s="138" t="s">
        <v>140</v>
      </c>
      <c r="C22" s="139"/>
      <c r="D22" s="139"/>
      <c r="E22" s="140"/>
      <c r="F22" s="17" t="s">
        <v>25</v>
      </c>
      <c r="G22" s="30" t="s">
        <v>29</v>
      </c>
      <c r="H22" s="68">
        <f>январь!Q22</f>
        <v>0</v>
      </c>
      <c r="I22" s="60">
        <f>$N41</f>
        <v>0</v>
      </c>
      <c r="J22" s="60">
        <f>$N48</f>
        <v>0</v>
      </c>
      <c r="K22" s="60">
        <f>$N51</f>
        <v>0</v>
      </c>
      <c r="L22" s="53">
        <f t="shared" si="0"/>
        <v>0</v>
      </c>
      <c r="M22" s="60">
        <f>$N53</f>
        <v>0</v>
      </c>
      <c r="N22" s="60">
        <f>$N56</f>
        <v>0</v>
      </c>
      <c r="O22" s="60">
        <f>$N59</f>
        <v>0</v>
      </c>
      <c r="P22" s="54">
        <f t="shared" si="2"/>
        <v>0</v>
      </c>
      <c r="Q22" s="55">
        <f t="shared" si="3"/>
        <v>0</v>
      </c>
      <c r="R22" s="56">
        <f>M22+S22+O22</f>
        <v>0</v>
      </c>
      <c r="S22" s="74">
        <v>0</v>
      </c>
      <c r="T22" s="75">
        <v>0</v>
      </c>
      <c r="U22" s="12"/>
    </row>
    <row r="23" spans="1:21" ht="31.5" customHeight="1" x14ac:dyDescent="0.2">
      <c r="A23" s="15">
        <v>10</v>
      </c>
      <c r="B23" s="138" t="s">
        <v>157</v>
      </c>
      <c r="C23" s="139"/>
      <c r="D23" s="139"/>
      <c r="E23" s="140"/>
      <c r="F23" s="17" t="s">
        <v>25</v>
      </c>
      <c r="G23" s="30" t="s">
        <v>29</v>
      </c>
      <c r="H23" s="68">
        <f>январь!Q23</f>
        <v>0</v>
      </c>
      <c r="I23" s="60">
        <f>$M41</f>
        <v>1</v>
      </c>
      <c r="J23" s="60">
        <f>$M48</f>
        <v>0</v>
      </c>
      <c r="K23" s="60">
        <f>$M51</f>
        <v>0</v>
      </c>
      <c r="L23" s="53">
        <f t="shared" si="0"/>
        <v>1</v>
      </c>
      <c r="M23" s="60">
        <f>$M53</f>
        <v>1</v>
      </c>
      <c r="N23" s="60">
        <f>$M56</f>
        <v>0</v>
      </c>
      <c r="O23" s="60">
        <f>$M59</f>
        <v>0</v>
      </c>
      <c r="P23" s="54">
        <f t="shared" si="2"/>
        <v>1</v>
      </c>
      <c r="Q23" s="55">
        <f t="shared" si="3"/>
        <v>0</v>
      </c>
      <c r="R23" s="56">
        <f t="shared" ref="R23:R24" si="5">M23+S23+O23</f>
        <v>1</v>
      </c>
      <c r="S23" s="74">
        <v>0</v>
      </c>
      <c r="T23" s="75">
        <v>0</v>
      </c>
      <c r="U23" s="12"/>
    </row>
    <row r="24" spans="1:21" ht="30.75" customHeight="1" x14ac:dyDescent="0.25">
      <c r="A24" s="15">
        <v>11</v>
      </c>
      <c r="B24" s="138" t="s">
        <v>141</v>
      </c>
      <c r="C24" s="139"/>
      <c r="D24" s="139"/>
      <c r="E24" s="140"/>
      <c r="F24" s="17" t="s">
        <v>25</v>
      </c>
      <c r="G24" s="30" t="s">
        <v>29</v>
      </c>
      <c r="H24" s="68">
        <f>январь!Q24</f>
        <v>0</v>
      </c>
      <c r="I24" s="52">
        <f>$O41</f>
        <v>8</v>
      </c>
      <c r="J24" s="52">
        <f>$O48</f>
        <v>0</v>
      </c>
      <c r="K24" s="52">
        <f>$O51</f>
        <v>0</v>
      </c>
      <c r="L24" s="53">
        <f t="shared" si="0"/>
        <v>8</v>
      </c>
      <c r="M24" s="52">
        <f>$O53</f>
        <v>8</v>
      </c>
      <c r="N24" s="52">
        <f>$O56</f>
        <v>0</v>
      </c>
      <c r="O24" s="52">
        <f>$O59</f>
        <v>0</v>
      </c>
      <c r="P24" s="54">
        <f t="shared" si="2"/>
        <v>8</v>
      </c>
      <c r="Q24" s="55">
        <f t="shared" si="3"/>
        <v>0</v>
      </c>
      <c r="R24" s="56">
        <f t="shared" si="5"/>
        <v>8</v>
      </c>
      <c r="S24" s="74">
        <v>0</v>
      </c>
      <c r="T24" s="75">
        <v>0</v>
      </c>
      <c r="U24" s="11"/>
    </row>
    <row r="25" spans="1:21" ht="33.75" customHeight="1" x14ac:dyDescent="0.2">
      <c r="A25" s="15">
        <v>12</v>
      </c>
      <c r="B25" s="138" t="s">
        <v>142</v>
      </c>
      <c r="C25" s="192"/>
      <c r="D25" s="192"/>
      <c r="E25" s="193"/>
      <c r="F25" s="17" t="s">
        <v>25</v>
      </c>
      <c r="G25" s="30" t="s">
        <v>29</v>
      </c>
      <c r="H25" s="68">
        <f>январь!Q25</f>
        <v>0</v>
      </c>
      <c r="I25" s="59">
        <f>$P41</f>
        <v>0</v>
      </c>
      <c r="J25" s="59">
        <f>$P48</f>
        <v>0</v>
      </c>
      <c r="K25" s="59">
        <f>$P51</f>
        <v>0</v>
      </c>
      <c r="L25" s="53">
        <f t="shared" si="0"/>
        <v>0</v>
      </c>
      <c r="M25" s="59">
        <f>$P53</f>
        <v>0</v>
      </c>
      <c r="N25" s="59">
        <f>$P56</f>
        <v>0</v>
      </c>
      <c r="O25" s="59">
        <f>$P59</f>
        <v>0</v>
      </c>
      <c r="P25" s="54">
        <f t="shared" si="2"/>
        <v>0</v>
      </c>
      <c r="Q25" s="55">
        <f t="shared" si="3"/>
        <v>0</v>
      </c>
      <c r="R25" s="56">
        <f t="shared" si="4"/>
        <v>0</v>
      </c>
      <c r="S25" s="74">
        <v>0</v>
      </c>
      <c r="T25" s="75">
        <v>0</v>
      </c>
      <c r="U25" s="6"/>
    </row>
    <row r="26" spans="1:21" ht="28.5" customHeight="1" x14ac:dyDescent="0.25">
      <c r="A26" s="15">
        <v>13</v>
      </c>
      <c r="B26" s="138" t="s">
        <v>143</v>
      </c>
      <c r="C26" s="139"/>
      <c r="D26" s="139"/>
      <c r="E26" s="140"/>
      <c r="F26" s="17" t="s">
        <v>25</v>
      </c>
      <c r="G26" s="30" t="s">
        <v>29</v>
      </c>
      <c r="H26" s="68">
        <f>январь!Q26</f>
        <v>0</v>
      </c>
      <c r="I26" s="59">
        <f>$R41</f>
        <v>0</v>
      </c>
      <c r="J26" s="59">
        <f>$R48</f>
        <v>0</v>
      </c>
      <c r="K26" s="59">
        <f>$R51</f>
        <v>0</v>
      </c>
      <c r="L26" s="53">
        <f t="shared" si="0"/>
        <v>0</v>
      </c>
      <c r="M26" s="59">
        <f>$R53</f>
        <v>0</v>
      </c>
      <c r="N26" s="59">
        <f>$R56</f>
        <v>0</v>
      </c>
      <c r="O26" s="59">
        <f>$R59</f>
        <v>0</v>
      </c>
      <c r="P26" s="54">
        <f t="shared" si="2"/>
        <v>0</v>
      </c>
      <c r="Q26" s="55">
        <f t="shared" si="3"/>
        <v>0</v>
      </c>
      <c r="R26" s="56">
        <f t="shared" si="4"/>
        <v>0</v>
      </c>
      <c r="S26" s="74">
        <v>0</v>
      </c>
      <c r="T26" s="75">
        <v>0</v>
      </c>
      <c r="U26" s="11"/>
    </row>
    <row r="27" spans="1:21" ht="25.5" customHeight="1" x14ac:dyDescent="0.25">
      <c r="A27" s="15">
        <v>14</v>
      </c>
      <c r="B27" s="169" t="s">
        <v>30</v>
      </c>
      <c r="C27" s="175"/>
      <c r="D27" s="175"/>
      <c r="E27" s="170"/>
      <c r="F27" s="28" t="s">
        <v>25</v>
      </c>
      <c r="G27" s="30" t="s">
        <v>29</v>
      </c>
      <c r="H27" s="68">
        <f>январь!Q27</f>
        <v>0</v>
      </c>
      <c r="I27" s="61">
        <v>0</v>
      </c>
      <c r="J27" s="57">
        <v>0</v>
      </c>
      <c r="K27" s="57">
        <v>0</v>
      </c>
      <c r="L27" s="62">
        <f>SUM(I27:K27)</f>
        <v>0</v>
      </c>
      <c r="M27" s="61">
        <v>0</v>
      </c>
      <c r="N27" s="61">
        <v>0</v>
      </c>
      <c r="O27" s="61">
        <v>0</v>
      </c>
      <c r="P27" s="64">
        <f>SUM(M27:O27)</f>
        <v>0</v>
      </c>
      <c r="Q27" s="65">
        <f>H27+L27-P27</f>
        <v>0</v>
      </c>
      <c r="R27" s="56">
        <f>M27+S27</f>
        <v>0</v>
      </c>
      <c r="S27" s="74">
        <v>0</v>
      </c>
      <c r="T27" s="75">
        <v>0</v>
      </c>
      <c r="U27" s="11"/>
    </row>
    <row r="28" spans="1:21" ht="25.5" customHeight="1" x14ac:dyDescent="0.25">
      <c r="A28" s="15">
        <v>15</v>
      </c>
      <c r="B28" s="169" t="s">
        <v>31</v>
      </c>
      <c r="C28" s="175"/>
      <c r="D28" s="175"/>
      <c r="E28" s="170"/>
      <c r="F28" s="28" t="s">
        <v>25</v>
      </c>
      <c r="G28" s="30" t="s">
        <v>29</v>
      </c>
      <c r="H28" s="51">
        <f>январь!Q28</f>
        <v>467.3</v>
      </c>
      <c r="I28" s="61">
        <v>0</v>
      </c>
      <c r="J28" s="57">
        <v>0</v>
      </c>
      <c r="K28" s="57">
        <v>0</v>
      </c>
      <c r="L28" s="62">
        <f t="shared" ref="L28:L31" si="6">SUM(I28:K28)</f>
        <v>0</v>
      </c>
      <c r="M28" s="61">
        <v>8.1999999999999993</v>
      </c>
      <c r="N28" s="61">
        <v>0</v>
      </c>
      <c r="O28" s="61">
        <v>0</v>
      </c>
      <c r="P28" s="64">
        <f t="shared" ref="P28:P32" si="7">SUM(M28:O28)</f>
        <v>8.1999999999999993</v>
      </c>
      <c r="Q28" s="65">
        <f t="shared" ref="Q28:Q31" si="8">H28+L28-P28</f>
        <v>459.1</v>
      </c>
      <c r="R28" s="56">
        <f t="shared" ref="R28:R32" si="9">M28+S28</f>
        <v>8.1999999999999993</v>
      </c>
      <c r="S28" s="74">
        <v>0</v>
      </c>
      <c r="T28" s="75">
        <v>0</v>
      </c>
      <c r="U28" s="11"/>
    </row>
    <row r="29" spans="1:21" ht="25.5" customHeight="1" x14ac:dyDescent="0.25">
      <c r="A29" s="15">
        <v>16</v>
      </c>
      <c r="B29" s="169" t="s">
        <v>32</v>
      </c>
      <c r="C29" s="175"/>
      <c r="D29" s="175"/>
      <c r="E29" s="170"/>
      <c r="F29" s="28" t="s">
        <v>25</v>
      </c>
      <c r="G29" s="30" t="s">
        <v>29</v>
      </c>
      <c r="H29" s="51">
        <f>январь!Q29</f>
        <v>124.7</v>
      </c>
      <c r="I29" s="61">
        <v>0</v>
      </c>
      <c r="J29" s="57">
        <v>0</v>
      </c>
      <c r="K29" s="57">
        <v>0</v>
      </c>
      <c r="L29" s="62">
        <f t="shared" si="6"/>
        <v>0</v>
      </c>
      <c r="M29" s="61">
        <v>2.2999999999999998</v>
      </c>
      <c r="N29" s="61">
        <v>0</v>
      </c>
      <c r="O29" s="61">
        <v>0</v>
      </c>
      <c r="P29" s="64">
        <f t="shared" si="7"/>
        <v>2.2999999999999998</v>
      </c>
      <c r="Q29" s="65">
        <f t="shared" si="8"/>
        <v>122.4</v>
      </c>
      <c r="R29" s="56">
        <f t="shared" si="9"/>
        <v>2.2999999999999998</v>
      </c>
      <c r="S29" s="74">
        <v>0</v>
      </c>
      <c r="T29" s="75">
        <v>0</v>
      </c>
      <c r="U29" s="11"/>
    </row>
    <row r="30" spans="1:21" ht="25.5" customHeight="1" x14ac:dyDescent="0.2">
      <c r="A30" s="15">
        <v>17</v>
      </c>
      <c r="B30" s="169" t="s">
        <v>33</v>
      </c>
      <c r="C30" s="175"/>
      <c r="D30" s="175"/>
      <c r="E30" s="170"/>
      <c r="F30" s="28" t="s">
        <v>25</v>
      </c>
      <c r="G30" s="30" t="s">
        <v>29</v>
      </c>
      <c r="H30" s="51">
        <f>январь!Q30</f>
        <v>59.5</v>
      </c>
      <c r="I30" s="61">
        <v>0</v>
      </c>
      <c r="J30" s="57">
        <v>0</v>
      </c>
      <c r="K30" s="57">
        <v>0</v>
      </c>
      <c r="L30" s="62">
        <f t="shared" si="6"/>
        <v>0</v>
      </c>
      <c r="M30" s="61">
        <v>1.5</v>
      </c>
      <c r="N30" s="61">
        <v>0</v>
      </c>
      <c r="O30" s="61">
        <v>0</v>
      </c>
      <c r="P30" s="64">
        <f t="shared" si="7"/>
        <v>1.5</v>
      </c>
      <c r="Q30" s="65">
        <f t="shared" si="8"/>
        <v>58</v>
      </c>
      <c r="R30" s="56">
        <f t="shared" si="9"/>
        <v>1.5</v>
      </c>
      <c r="S30" s="74">
        <v>0</v>
      </c>
      <c r="T30" s="75">
        <v>0</v>
      </c>
      <c r="U30" s="21"/>
    </row>
    <row r="31" spans="1:21" ht="25.5" customHeight="1" x14ac:dyDescent="0.2">
      <c r="A31" s="15">
        <v>18</v>
      </c>
      <c r="B31" s="169" t="s">
        <v>34</v>
      </c>
      <c r="C31" s="175"/>
      <c r="D31" s="175"/>
      <c r="E31" s="170"/>
      <c r="F31" s="28" t="s">
        <v>25</v>
      </c>
      <c r="G31" s="30" t="s">
        <v>29</v>
      </c>
      <c r="H31" s="51">
        <f>январь!Q31</f>
        <v>10.9</v>
      </c>
      <c r="I31" s="61">
        <v>0</v>
      </c>
      <c r="J31" s="57">
        <v>0</v>
      </c>
      <c r="K31" s="57">
        <v>0</v>
      </c>
      <c r="L31" s="62">
        <f t="shared" si="6"/>
        <v>0</v>
      </c>
      <c r="M31" s="66">
        <v>3.8</v>
      </c>
      <c r="N31" s="61">
        <v>0</v>
      </c>
      <c r="O31" s="61">
        <v>0</v>
      </c>
      <c r="P31" s="64">
        <f t="shared" si="7"/>
        <v>3.8</v>
      </c>
      <c r="Q31" s="65">
        <f t="shared" si="8"/>
        <v>7.1000000000000005</v>
      </c>
      <c r="R31" s="56">
        <f t="shared" si="9"/>
        <v>3.8</v>
      </c>
      <c r="S31" s="74">
        <v>0</v>
      </c>
      <c r="T31" s="75">
        <v>0</v>
      </c>
    </row>
    <row r="32" spans="1:21" ht="25.5" customHeight="1" x14ac:dyDescent="0.2">
      <c r="A32" s="15">
        <v>19</v>
      </c>
      <c r="B32" s="169" t="s">
        <v>35</v>
      </c>
      <c r="C32" s="175"/>
      <c r="D32" s="175"/>
      <c r="E32" s="170"/>
      <c r="F32" s="28" t="s">
        <v>36</v>
      </c>
      <c r="G32" s="30" t="s">
        <v>29</v>
      </c>
      <c r="H32" s="68">
        <f>январь!Q32</f>
        <v>1</v>
      </c>
      <c r="I32" s="63">
        <v>0</v>
      </c>
      <c r="J32" s="67">
        <v>0</v>
      </c>
      <c r="K32" s="67">
        <v>0</v>
      </c>
      <c r="L32" s="62">
        <f>SUM(I32:K32)</f>
        <v>0</v>
      </c>
      <c r="M32" s="66">
        <v>0</v>
      </c>
      <c r="N32" s="63">
        <v>0</v>
      </c>
      <c r="O32" s="63">
        <v>0</v>
      </c>
      <c r="P32" s="64">
        <f t="shared" si="7"/>
        <v>0</v>
      </c>
      <c r="Q32" s="65">
        <v>1</v>
      </c>
      <c r="R32" s="56">
        <f t="shared" si="9"/>
        <v>0</v>
      </c>
      <c r="S32" s="74">
        <v>0</v>
      </c>
      <c r="T32" s="75">
        <v>0</v>
      </c>
    </row>
    <row r="33" spans="1:20" ht="63.75" customHeight="1" x14ac:dyDescent="0.2">
      <c r="A33" s="208" t="s">
        <v>182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</row>
    <row r="34" spans="1:20" ht="24" customHeight="1" x14ac:dyDescent="0.2">
      <c r="A34" s="178" t="s">
        <v>38</v>
      </c>
      <c r="B34" s="180" t="s">
        <v>39</v>
      </c>
      <c r="C34" s="181"/>
      <c r="D34" s="184" t="s">
        <v>40</v>
      </c>
      <c r="E34" s="180" t="s">
        <v>41</v>
      </c>
      <c r="F34" s="181"/>
      <c r="G34" s="176" t="s">
        <v>149</v>
      </c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37"/>
    </row>
    <row r="35" spans="1:20" ht="115.5" customHeight="1" x14ac:dyDescent="0.2">
      <c r="A35" s="179"/>
      <c r="B35" s="182"/>
      <c r="C35" s="183"/>
      <c r="D35" s="185"/>
      <c r="E35" s="182"/>
      <c r="F35" s="183"/>
      <c r="G35" s="5" t="s">
        <v>42</v>
      </c>
      <c r="H35" s="5" t="s">
        <v>43</v>
      </c>
      <c r="I35" s="8" t="s">
        <v>44</v>
      </c>
      <c r="J35" s="5" t="s">
        <v>45</v>
      </c>
      <c r="K35" s="8" t="s">
        <v>46</v>
      </c>
      <c r="L35" s="8" t="s">
        <v>47</v>
      </c>
      <c r="M35" s="5" t="s">
        <v>48</v>
      </c>
      <c r="N35" s="8" t="s">
        <v>49</v>
      </c>
      <c r="O35" s="5" t="s">
        <v>50</v>
      </c>
      <c r="P35" s="106" t="s">
        <v>158</v>
      </c>
      <c r="Q35" s="5" t="s">
        <v>52</v>
      </c>
      <c r="R35" s="5" t="s">
        <v>53</v>
      </c>
      <c r="S35" s="8" t="s">
        <v>0</v>
      </c>
      <c r="T35" s="5" t="s">
        <v>54</v>
      </c>
    </row>
    <row r="36" spans="1:20" ht="32.25" customHeight="1" x14ac:dyDescent="0.2">
      <c r="A36" s="22">
        <v>6</v>
      </c>
      <c r="B36" s="169" t="s">
        <v>55</v>
      </c>
      <c r="C36" s="170"/>
      <c r="D36" s="2" t="s">
        <v>56</v>
      </c>
      <c r="E36" s="136" t="s">
        <v>57</v>
      </c>
      <c r="F36" s="137"/>
      <c r="G36" s="84">
        <v>3552</v>
      </c>
      <c r="H36" s="84">
        <v>3071</v>
      </c>
      <c r="I36" s="83">
        <v>715</v>
      </c>
      <c r="J36" s="67">
        <v>6.5</v>
      </c>
      <c r="K36" s="58">
        <v>0</v>
      </c>
      <c r="L36" s="58">
        <v>0</v>
      </c>
      <c r="M36" s="57">
        <v>1</v>
      </c>
      <c r="N36" s="63">
        <v>0</v>
      </c>
      <c r="O36" s="67">
        <v>8</v>
      </c>
      <c r="P36" s="63">
        <v>0</v>
      </c>
      <c r="Q36" s="57">
        <v>0</v>
      </c>
      <c r="R36" s="57">
        <v>0</v>
      </c>
      <c r="S36" s="58">
        <v>0</v>
      </c>
      <c r="T36" s="57">
        <v>0</v>
      </c>
    </row>
    <row r="37" spans="1:20" ht="15.75" customHeight="1" x14ac:dyDescent="0.2">
      <c r="A37" s="23"/>
      <c r="B37" s="169" t="s">
        <v>55</v>
      </c>
      <c r="C37" s="170"/>
      <c r="D37" s="2" t="s">
        <v>58</v>
      </c>
      <c r="E37" s="136"/>
      <c r="F37" s="137"/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57">
        <v>0</v>
      </c>
      <c r="R37" s="57">
        <v>0</v>
      </c>
      <c r="S37" s="58">
        <v>0</v>
      </c>
      <c r="T37" s="57">
        <v>0</v>
      </c>
    </row>
    <row r="38" spans="1:20" ht="15.75" customHeight="1" x14ac:dyDescent="0.2">
      <c r="A38" s="23"/>
      <c r="B38" s="37"/>
      <c r="C38" s="36"/>
      <c r="D38" s="2" t="s">
        <v>58</v>
      </c>
      <c r="E38" s="136"/>
      <c r="F38" s="137"/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57">
        <v>0</v>
      </c>
      <c r="R38" s="57">
        <v>0</v>
      </c>
      <c r="S38" s="58">
        <v>0</v>
      </c>
      <c r="T38" s="57">
        <v>0</v>
      </c>
    </row>
    <row r="39" spans="1:20" ht="15.75" customHeight="1" x14ac:dyDescent="0.2">
      <c r="A39" s="23"/>
      <c r="B39" s="37"/>
      <c r="C39" s="36"/>
      <c r="D39" s="2" t="s">
        <v>58</v>
      </c>
      <c r="E39" s="136"/>
      <c r="F39" s="137"/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57">
        <v>0</v>
      </c>
      <c r="R39" s="57">
        <v>0</v>
      </c>
      <c r="S39" s="58">
        <v>0</v>
      </c>
      <c r="T39" s="57">
        <v>0</v>
      </c>
    </row>
    <row r="40" spans="1:20" ht="15.75" customHeight="1" x14ac:dyDescent="0.2">
      <c r="A40" s="24"/>
      <c r="B40" s="169" t="s">
        <v>55</v>
      </c>
      <c r="C40" s="170"/>
      <c r="D40" s="2" t="s">
        <v>58</v>
      </c>
      <c r="E40" s="136"/>
      <c r="F40" s="137"/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57">
        <v>0</v>
      </c>
      <c r="R40" s="57">
        <v>0</v>
      </c>
      <c r="S40" s="58">
        <v>0</v>
      </c>
      <c r="T40" s="57">
        <v>0</v>
      </c>
    </row>
    <row r="41" spans="1:20" ht="21.75" customHeight="1" x14ac:dyDescent="0.2">
      <c r="A41" s="142" t="s">
        <v>59</v>
      </c>
      <c r="B41" s="143"/>
      <c r="C41" s="143"/>
      <c r="D41" s="143"/>
      <c r="E41" s="143"/>
      <c r="F41" s="144"/>
      <c r="G41" s="96">
        <f t="shared" ref="G41:T41" si="10">SUM(G36:G40)</f>
        <v>3552</v>
      </c>
      <c r="H41" s="96">
        <f t="shared" si="10"/>
        <v>3071</v>
      </c>
      <c r="I41" s="96">
        <f t="shared" si="10"/>
        <v>715</v>
      </c>
      <c r="J41" s="85">
        <f t="shared" si="10"/>
        <v>6.5</v>
      </c>
      <c r="K41" s="85">
        <f t="shared" si="10"/>
        <v>0</v>
      </c>
      <c r="L41" s="85">
        <f t="shared" si="10"/>
        <v>0</v>
      </c>
      <c r="M41" s="85">
        <f t="shared" si="10"/>
        <v>1</v>
      </c>
      <c r="N41" s="85">
        <f t="shared" si="10"/>
        <v>0</v>
      </c>
      <c r="O41" s="85">
        <f t="shared" si="10"/>
        <v>8</v>
      </c>
      <c r="P41" s="85">
        <f t="shared" si="10"/>
        <v>0</v>
      </c>
      <c r="Q41" s="85">
        <f t="shared" si="10"/>
        <v>0</v>
      </c>
      <c r="R41" s="85">
        <f t="shared" si="10"/>
        <v>0</v>
      </c>
      <c r="S41" s="85">
        <f t="shared" si="10"/>
        <v>0</v>
      </c>
      <c r="T41" s="85">
        <f t="shared" si="10"/>
        <v>0</v>
      </c>
    </row>
    <row r="42" spans="1:20" ht="15.75" customHeight="1" x14ac:dyDescent="0.25">
      <c r="A42" s="22">
        <v>7</v>
      </c>
      <c r="B42" s="149" t="s">
        <v>159</v>
      </c>
      <c r="C42" s="146"/>
      <c r="D42" s="2" t="s">
        <v>58</v>
      </c>
      <c r="E42" s="141"/>
      <c r="F42" s="131"/>
      <c r="G42" s="97"/>
      <c r="H42" s="98">
        <v>110</v>
      </c>
      <c r="I42" s="99" t="s">
        <v>29</v>
      </c>
      <c r="J42" s="87" t="s">
        <v>29</v>
      </c>
      <c r="K42" s="88" t="s">
        <v>29</v>
      </c>
      <c r="L42" s="88" t="s">
        <v>29</v>
      </c>
      <c r="M42" s="87" t="s">
        <v>29</v>
      </c>
      <c r="N42" s="88" t="s">
        <v>29</v>
      </c>
      <c r="O42" s="87" t="s">
        <v>29</v>
      </c>
      <c r="P42" s="88" t="s">
        <v>29</v>
      </c>
      <c r="Q42" s="87" t="s">
        <v>29</v>
      </c>
      <c r="R42" s="87" t="s">
        <v>29</v>
      </c>
      <c r="S42" s="88" t="s">
        <v>29</v>
      </c>
      <c r="T42" s="87" t="s">
        <v>29</v>
      </c>
    </row>
    <row r="43" spans="1:20" ht="15.75" customHeight="1" x14ac:dyDescent="0.25">
      <c r="A43" s="23"/>
      <c r="B43" s="149" t="s">
        <v>160</v>
      </c>
      <c r="C43" s="146"/>
      <c r="D43" s="2" t="s">
        <v>58</v>
      </c>
      <c r="E43" s="141"/>
      <c r="F43" s="131"/>
      <c r="G43" s="97"/>
      <c r="H43" s="98">
        <v>50</v>
      </c>
      <c r="I43" s="99" t="s">
        <v>29</v>
      </c>
      <c r="J43" s="87" t="s">
        <v>29</v>
      </c>
      <c r="K43" s="88" t="s">
        <v>29</v>
      </c>
      <c r="L43" s="88" t="s">
        <v>29</v>
      </c>
      <c r="M43" s="87" t="s">
        <v>29</v>
      </c>
      <c r="N43" s="88" t="s">
        <v>29</v>
      </c>
      <c r="O43" s="87" t="s">
        <v>29</v>
      </c>
      <c r="P43" s="88" t="s">
        <v>29</v>
      </c>
      <c r="Q43" s="87" t="s">
        <v>29</v>
      </c>
      <c r="R43" s="87" t="s">
        <v>29</v>
      </c>
      <c r="S43" s="88" t="s">
        <v>29</v>
      </c>
      <c r="T43" s="87" t="s">
        <v>29</v>
      </c>
    </row>
    <row r="44" spans="1:20" ht="15.75" customHeight="1" x14ac:dyDescent="0.25">
      <c r="A44" s="23"/>
      <c r="B44" s="147" t="s">
        <v>161</v>
      </c>
      <c r="C44" s="148"/>
      <c r="D44" s="2" t="s">
        <v>58</v>
      </c>
      <c r="E44" s="141"/>
      <c r="F44" s="131"/>
      <c r="G44" s="97">
        <v>31</v>
      </c>
      <c r="H44" s="98" t="s">
        <v>29</v>
      </c>
      <c r="I44" s="99" t="s">
        <v>29</v>
      </c>
      <c r="J44" s="87" t="s">
        <v>29</v>
      </c>
      <c r="K44" s="88" t="s">
        <v>29</v>
      </c>
      <c r="L44" s="88" t="s">
        <v>29</v>
      </c>
      <c r="M44" s="87" t="s">
        <v>29</v>
      </c>
      <c r="N44" s="88" t="s">
        <v>29</v>
      </c>
      <c r="O44" s="87" t="s">
        <v>29</v>
      </c>
      <c r="P44" s="88" t="s">
        <v>29</v>
      </c>
      <c r="Q44" s="87" t="s">
        <v>29</v>
      </c>
      <c r="R44" s="87" t="s">
        <v>29</v>
      </c>
      <c r="S44" s="88" t="s">
        <v>29</v>
      </c>
      <c r="T44" s="87" t="s">
        <v>29</v>
      </c>
    </row>
    <row r="45" spans="1:20" ht="15.75" customHeight="1" x14ac:dyDescent="0.25">
      <c r="A45" s="23"/>
      <c r="B45" s="147" t="s">
        <v>162</v>
      </c>
      <c r="C45" s="148"/>
      <c r="D45" s="2" t="s">
        <v>58</v>
      </c>
      <c r="E45" s="141"/>
      <c r="F45" s="131"/>
      <c r="G45" s="100">
        <v>40</v>
      </c>
      <c r="H45" s="98" t="s">
        <v>29</v>
      </c>
      <c r="I45" s="99" t="s">
        <v>29</v>
      </c>
      <c r="J45" s="87" t="s">
        <v>29</v>
      </c>
      <c r="K45" s="88" t="s">
        <v>29</v>
      </c>
      <c r="L45" s="88" t="s">
        <v>29</v>
      </c>
      <c r="M45" s="87" t="s">
        <v>29</v>
      </c>
      <c r="N45" s="88" t="s">
        <v>29</v>
      </c>
      <c r="O45" s="87" t="s">
        <v>29</v>
      </c>
      <c r="P45" s="88" t="s">
        <v>29</v>
      </c>
      <c r="Q45" s="87" t="s">
        <v>29</v>
      </c>
      <c r="R45" s="87" t="s">
        <v>29</v>
      </c>
      <c r="S45" s="88" t="s">
        <v>29</v>
      </c>
      <c r="T45" s="87" t="s">
        <v>29</v>
      </c>
    </row>
    <row r="46" spans="1:20" ht="15.75" customHeight="1" x14ac:dyDescent="0.25">
      <c r="A46" s="23"/>
      <c r="B46" s="149" t="s">
        <v>7</v>
      </c>
      <c r="C46" s="150"/>
      <c r="D46" s="2" t="s">
        <v>58</v>
      </c>
      <c r="E46" s="141"/>
      <c r="F46" s="131"/>
      <c r="G46" s="97"/>
      <c r="H46" s="98" t="s">
        <v>29</v>
      </c>
      <c r="I46" s="99" t="s">
        <v>29</v>
      </c>
      <c r="J46" s="87" t="s">
        <v>29</v>
      </c>
      <c r="K46" s="88" t="s">
        <v>29</v>
      </c>
      <c r="L46" s="88" t="s">
        <v>29</v>
      </c>
      <c r="M46" s="87" t="s">
        <v>29</v>
      </c>
      <c r="N46" s="88" t="s">
        <v>29</v>
      </c>
      <c r="O46" s="87" t="s">
        <v>29</v>
      </c>
      <c r="P46" s="88" t="s">
        <v>29</v>
      </c>
      <c r="Q46" s="87" t="s">
        <v>29</v>
      </c>
      <c r="R46" s="87" t="s">
        <v>29</v>
      </c>
      <c r="S46" s="88" t="s">
        <v>29</v>
      </c>
      <c r="T46" s="87" t="s">
        <v>29</v>
      </c>
    </row>
    <row r="47" spans="1:20" ht="15.75" customHeight="1" x14ac:dyDescent="0.25">
      <c r="A47" s="24"/>
      <c r="B47" s="149" t="s">
        <v>6</v>
      </c>
      <c r="C47" s="150"/>
      <c r="D47" s="2" t="s">
        <v>58</v>
      </c>
      <c r="E47" s="141"/>
      <c r="F47" s="131"/>
      <c r="G47" s="97"/>
      <c r="H47" s="98" t="s">
        <v>29</v>
      </c>
      <c r="I47" s="99" t="s">
        <v>29</v>
      </c>
      <c r="J47" s="87" t="s">
        <v>29</v>
      </c>
      <c r="K47" s="88" t="s">
        <v>29</v>
      </c>
      <c r="L47" s="88" t="s">
        <v>29</v>
      </c>
      <c r="M47" s="87" t="s">
        <v>29</v>
      </c>
      <c r="N47" s="88" t="s">
        <v>29</v>
      </c>
      <c r="O47" s="87" t="s">
        <v>29</v>
      </c>
      <c r="P47" s="88" t="s">
        <v>29</v>
      </c>
      <c r="Q47" s="87" t="s">
        <v>29</v>
      </c>
      <c r="R47" s="87" t="s">
        <v>29</v>
      </c>
      <c r="S47" s="88" t="s">
        <v>29</v>
      </c>
      <c r="T47" s="87" t="s">
        <v>29</v>
      </c>
    </row>
    <row r="48" spans="1:20" ht="21.75" customHeight="1" x14ac:dyDescent="0.2">
      <c r="A48" s="142" t="s">
        <v>62</v>
      </c>
      <c r="B48" s="143"/>
      <c r="C48" s="143"/>
      <c r="D48" s="143"/>
      <c r="E48" s="143"/>
      <c r="F48" s="144"/>
      <c r="G48" s="96">
        <f>SUM(G42:G47)</f>
        <v>71</v>
      </c>
      <c r="H48" s="96">
        <f t="shared" ref="H48:T48" si="11">SUM(H42:H47)</f>
        <v>160</v>
      </c>
      <c r="I48" s="96">
        <f t="shared" si="11"/>
        <v>0</v>
      </c>
      <c r="J48" s="85">
        <f t="shared" si="11"/>
        <v>0</v>
      </c>
      <c r="K48" s="85">
        <f t="shared" si="11"/>
        <v>0</v>
      </c>
      <c r="L48" s="85">
        <f t="shared" si="11"/>
        <v>0</v>
      </c>
      <c r="M48" s="85">
        <f t="shared" si="11"/>
        <v>0</v>
      </c>
      <c r="N48" s="85">
        <f t="shared" si="11"/>
        <v>0</v>
      </c>
      <c r="O48" s="85">
        <f t="shared" si="11"/>
        <v>0</v>
      </c>
      <c r="P48" s="85">
        <f t="shared" si="11"/>
        <v>0</v>
      </c>
      <c r="Q48" s="85">
        <f t="shared" si="11"/>
        <v>0</v>
      </c>
      <c r="R48" s="85">
        <f t="shared" si="11"/>
        <v>0</v>
      </c>
      <c r="S48" s="85">
        <f t="shared" si="11"/>
        <v>0</v>
      </c>
      <c r="T48" s="85">
        <f t="shared" si="11"/>
        <v>0</v>
      </c>
    </row>
    <row r="49" spans="1:21" ht="15.75" customHeight="1" x14ac:dyDescent="0.25">
      <c r="A49" s="16">
        <v>8</v>
      </c>
      <c r="B49" s="169" t="s">
        <v>63</v>
      </c>
      <c r="C49" s="170"/>
      <c r="D49" s="2" t="s">
        <v>64</v>
      </c>
      <c r="E49" s="141"/>
      <c r="F49" s="131"/>
      <c r="G49" s="78">
        <v>0</v>
      </c>
      <c r="H49" s="78">
        <v>0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</row>
    <row r="50" spans="1:21" ht="15.75" customHeight="1" x14ac:dyDescent="0.25">
      <c r="A50" s="16"/>
      <c r="B50" s="129"/>
      <c r="C50" s="129"/>
      <c r="D50" s="3"/>
      <c r="E50" s="130"/>
      <c r="F50" s="131"/>
      <c r="G50" s="78">
        <v>0</v>
      </c>
      <c r="H50" s="78">
        <v>0</v>
      </c>
      <c r="I50" s="79">
        <v>0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</row>
    <row r="51" spans="1:21" ht="15.75" customHeight="1" x14ac:dyDescent="0.2">
      <c r="A51" s="142" t="s">
        <v>65</v>
      </c>
      <c r="B51" s="143"/>
      <c r="C51" s="143"/>
      <c r="D51" s="143"/>
      <c r="E51" s="143"/>
      <c r="F51" s="144"/>
      <c r="G51" s="101">
        <f>SUM(G49:G50)</f>
        <v>0</v>
      </c>
      <c r="H51" s="101">
        <f t="shared" ref="H51:T51" si="12">SUM(H49:H50)</f>
        <v>0</v>
      </c>
      <c r="I51" s="101">
        <f t="shared" si="12"/>
        <v>0</v>
      </c>
      <c r="J51" s="89">
        <f t="shared" si="12"/>
        <v>0</v>
      </c>
      <c r="K51" s="89">
        <f t="shared" si="12"/>
        <v>0</v>
      </c>
      <c r="L51" s="89">
        <f t="shared" si="12"/>
        <v>0</v>
      </c>
      <c r="M51" s="89">
        <f t="shared" si="12"/>
        <v>0</v>
      </c>
      <c r="N51" s="89">
        <f t="shared" si="12"/>
        <v>0</v>
      </c>
      <c r="O51" s="89">
        <f t="shared" si="12"/>
        <v>0</v>
      </c>
      <c r="P51" s="89">
        <f t="shared" si="12"/>
        <v>0</v>
      </c>
      <c r="Q51" s="89">
        <f t="shared" si="12"/>
        <v>0</v>
      </c>
      <c r="R51" s="89">
        <f t="shared" si="12"/>
        <v>0</v>
      </c>
      <c r="S51" s="89">
        <f t="shared" si="12"/>
        <v>0</v>
      </c>
      <c r="T51" s="89">
        <f t="shared" si="12"/>
        <v>0</v>
      </c>
    </row>
    <row r="52" spans="1:21" ht="224.25" customHeight="1" x14ac:dyDescent="0.2">
      <c r="A52" s="25">
        <v>10</v>
      </c>
      <c r="B52" s="173" t="s">
        <v>66</v>
      </c>
      <c r="C52" s="174"/>
      <c r="D52" s="26" t="s">
        <v>67</v>
      </c>
      <c r="E52" s="171" t="s">
        <v>144</v>
      </c>
      <c r="F52" s="172"/>
      <c r="G52" s="102">
        <f>G94</f>
        <v>3369</v>
      </c>
      <c r="H52" s="102">
        <f t="shared" ref="H52:T52" si="13">H94</f>
        <v>3537</v>
      </c>
      <c r="I52" s="102">
        <f t="shared" si="13"/>
        <v>744</v>
      </c>
      <c r="J52" s="90">
        <f t="shared" si="13"/>
        <v>6.5</v>
      </c>
      <c r="K52" s="90">
        <f t="shared" si="13"/>
        <v>0</v>
      </c>
      <c r="L52" s="90">
        <f t="shared" si="13"/>
        <v>0</v>
      </c>
      <c r="M52" s="90">
        <f>M94</f>
        <v>1</v>
      </c>
      <c r="N52" s="90">
        <f t="shared" si="13"/>
        <v>0</v>
      </c>
      <c r="O52" s="90">
        <f t="shared" si="13"/>
        <v>8</v>
      </c>
      <c r="P52" s="90">
        <f t="shared" si="13"/>
        <v>0</v>
      </c>
      <c r="Q52" s="90">
        <f t="shared" si="13"/>
        <v>0</v>
      </c>
      <c r="R52" s="90">
        <f t="shared" si="13"/>
        <v>0</v>
      </c>
      <c r="S52" s="90">
        <f t="shared" si="13"/>
        <v>0</v>
      </c>
      <c r="T52" s="90">
        <f t="shared" si="13"/>
        <v>3.8</v>
      </c>
    </row>
    <row r="53" spans="1:21" ht="14.25" customHeight="1" x14ac:dyDescent="0.2">
      <c r="A53" s="142" t="s">
        <v>68</v>
      </c>
      <c r="B53" s="143"/>
      <c r="C53" s="143"/>
      <c r="D53" s="143"/>
      <c r="E53" s="143"/>
      <c r="F53" s="144"/>
      <c r="G53" s="96">
        <f>G52</f>
        <v>3369</v>
      </c>
      <c r="H53" s="96">
        <f t="shared" ref="H53:T53" si="14">H52</f>
        <v>3537</v>
      </c>
      <c r="I53" s="96">
        <f t="shared" si="14"/>
        <v>744</v>
      </c>
      <c r="J53" s="85">
        <f>J52</f>
        <v>6.5</v>
      </c>
      <c r="K53" s="85">
        <f t="shared" si="14"/>
        <v>0</v>
      </c>
      <c r="L53" s="85">
        <f t="shared" si="14"/>
        <v>0</v>
      </c>
      <c r="M53" s="85">
        <f t="shared" si="14"/>
        <v>1</v>
      </c>
      <c r="N53" s="85">
        <f t="shared" si="14"/>
        <v>0</v>
      </c>
      <c r="O53" s="85">
        <f t="shared" si="14"/>
        <v>8</v>
      </c>
      <c r="P53" s="85">
        <f t="shared" si="14"/>
        <v>0</v>
      </c>
      <c r="Q53" s="85">
        <f t="shared" si="14"/>
        <v>0</v>
      </c>
      <c r="R53" s="85">
        <f t="shared" si="14"/>
        <v>0</v>
      </c>
      <c r="S53" s="85">
        <f t="shared" si="14"/>
        <v>0</v>
      </c>
      <c r="T53" s="85">
        <f t="shared" si="14"/>
        <v>3.8</v>
      </c>
    </row>
    <row r="54" spans="1:21" ht="15.75" customHeight="1" x14ac:dyDescent="0.2">
      <c r="A54" s="134">
        <v>11</v>
      </c>
      <c r="B54" s="203"/>
      <c r="C54" s="204"/>
      <c r="D54" s="44" t="s">
        <v>29</v>
      </c>
      <c r="E54" s="205" t="s">
        <v>29</v>
      </c>
      <c r="F54" s="204"/>
      <c r="G54" s="78">
        <v>0</v>
      </c>
      <c r="H54" s="78" t="s">
        <v>29</v>
      </c>
      <c r="I54" s="79" t="s">
        <v>29</v>
      </c>
      <c r="J54" s="57" t="s">
        <v>29</v>
      </c>
      <c r="K54" s="58" t="s">
        <v>29</v>
      </c>
      <c r="L54" s="58" t="s">
        <v>29</v>
      </c>
      <c r="M54" s="57" t="s">
        <v>29</v>
      </c>
      <c r="N54" s="58" t="s">
        <v>29</v>
      </c>
      <c r="O54" s="57" t="s">
        <v>29</v>
      </c>
      <c r="P54" s="58" t="s">
        <v>29</v>
      </c>
      <c r="Q54" s="57" t="s">
        <v>29</v>
      </c>
      <c r="R54" s="57" t="s">
        <v>29</v>
      </c>
      <c r="S54" s="58" t="s">
        <v>29</v>
      </c>
      <c r="T54" s="57" t="s">
        <v>29</v>
      </c>
    </row>
    <row r="55" spans="1:21" ht="15.75" customHeight="1" x14ac:dyDescent="0.2">
      <c r="A55" s="135"/>
      <c r="B55" s="132"/>
      <c r="C55" s="132"/>
      <c r="D55" s="45"/>
      <c r="E55" s="133"/>
      <c r="F55" s="133"/>
      <c r="G55" s="78">
        <v>147</v>
      </c>
      <c r="H55" s="78" t="s">
        <v>29</v>
      </c>
      <c r="I55" s="79" t="s">
        <v>29</v>
      </c>
      <c r="J55" s="57" t="s">
        <v>29</v>
      </c>
      <c r="K55" s="58" t="s">
        <v>29</v>
      </c>
      <c r="L55" s="58" t="s">
        <v>29</v>
      </c>
      <c r="M55" s="57" t="s">
        <v>29</v>
      </c>
      <c r="N55" s="58" t="s">
        <v>29</v>
      </c>
      <c r="O55" s="57" t="s">
        <v>29</v>
      </c>
      <c r="P55" s="58" t="s">
        <v>29</v>
      </c>
      <c r="Q55" s="57" t="s">
        <v>29</v>
      </c>
      <c r="R55" s="57" t="s">
        <v>29</v>
      </c>
      <c r="S55" s="58" t="s">
        <v>29</v>
      </c>
      <c r="T55" s="57" t="s">
        <v>29</v>
      </c>
    </row>
    <row r="56" spans="1:21" ht="15.75" customHeight="1" x14ac:dyDescent="0.2">
      <c r="A56" s="142" t="s">
        <v>69</v>
      </c>
      <c r="B56" s="206"/>
      <c r="C56" s="206"/>
      <c r="D56" s="206"/>
      <c r="E56" s="206"/>
      <c r="F56" s="207"/>
      <c r="G56" s="101">
        <f>SUM(G54:G55)</f>
        <v>147</v>
      </c>
      <c r="H56" s="101">
        <f t="shared" ref="H56:T56" si="15">SUM(H54:H55)</f>
        <v>0</v>
      </c>
      <c r="I56" s="101">
        <f t="shared" si="15"/>
        <v>0</v>
      </c>
      <c r="J56" s="89">
        <f t="shared" si="15"/>
        <v>0</v>
      </c>
      <c r="K56" s="89">
        <f t="shared" si="15"/>
        <v>0</v>
      </c>
      <c r="L56" s="89">
        <f t="shared" si="15"/>
        <v>0</v>
      </c>
      <c r="M56" s="89">
        <f t="shared" si="15"/>
        <v>0</v>
      </c>
      <c r="N56" s="89">
        <f t="shared" si="15"/>
        <v>0</v>
      </c>
      <c r="O56" s="89">
        <f t="shared" si="15"/>
        <v>0</v>
      </c>
      <c r="P56" s="89">
        <f t="shared" si="15"/>
        <v>0</v>
      </c>
      <c r="Q56" s="89">
        <f t="shared" si="15"/>
        <v>0</v>
      </c>
      <c r="R56" s="89">
        <f t="shared" si="15"/>
        <v>0</v>
      </c>
      <c r="S56" s="89">
        <f t="shared" si="15"/>
        <v>0</v>
      </c>
      <c r="T56" s="89">
        <f t="shared" si="15"/>
        <v>0</v>
      </c>
    </row>
    <row r="57" spans="1:21" ht="22.5" customHeight="1" x14ac:dyDescent="0.25">
      <c r="A57" s="190">
        <v>12</v>
      </c>
      <c r="B57" s="169" t="s">
        <v>70</v>
      </c>
      <c r="C57" s="170"/>
      <c r="D57" s="2" t="s">
        <v>71</v>
      </c>
      <c r="E57" s="141"/>
      <c r="F57" s="131"/>
      <c r="G57" s="78" t="s">
        <v>29</v>
      </c>
      <c r="H57" s="78" t="s">
        <v>29</v>
      </c>
      <c r="I57" s="79" t="s">
        <v>29</v>
      </c>
      <c r="J57" s="57" t="s">
        <v>29</v>
      </c>
      <c r="K57" s="58">
        <v>0</v>
      </c>
      <c r="L57" s="58">
        <v>0</v>
      </c>
      <c r="M57" s="57" t="s">
        <v>29</v>
      </c>
      <c r="N57" s="58">
        <v>0</v>
      </c>
      <c r="O57" s="57">
        <v>0</v>
      </c>
      <c r="P57" s="58" t="s">
        <v>29</v>
      </c>
      <c r="Q57" s="57" t="s">
        <v>29</v>
      </c>
      <c r="R57" s="57" t="s">
        <v>29</v>
      </c>
      <c r="S57" s="58" t="s">
        <v>29</v>
      </c>
      <c r="T57" s="57" t="s">
        <v>29</v>
      </c>
    </row>
    <row r="58" spans="1:21" ht="18.75" customHeight="1" x14ac:dyDescent="0.2">
      <c r="A58" s="191"/>
      <c r="B58" s="138" t="s">
        <v>163</v>
      </c>
      <c r="C58" s="170"/>
      <c r="D58" s="107" t="s">
        <v>164</v>
      </c>
      <c r="E58" s="136" t="s">
        <v>29</v>
      </c>
      <c r="F58" s="137"/>
      <c r="G58" s="78">
        <v>2364</v>
      </c>
      <c r="H58" s="78" t="s">
        <v>29</v>
      </c>
      <c r="I58" s="79" t="s">
        <v>29</v>
      </c>
      <c r="J58" s="57" t="s">
        <v>29</v>
      </c>
      <c r="K58" s="58" t="s">
        <v>29</v>
      </c>
      <c r="L58" s="58" t="s">
        <v>29</v>
      </c>
      <c r="M58" s="57" t="s">
        <v>29</v>
      </c>
      <c r="N58" s="58" t="s">
        <v>29</v>
      </c>
      <c r="O58" s="57" t="s">
        <v>29</v>
      </c>
      <c r="P58" s="58" t="s">
        <v>29</v>
      </c>
      <c r="Q58" s="57" t="s">
        <v>29</v>
      </c>
      <c r="R58" s="57" t="s">
        <v>29</v>
      </c>
      <c r="S58" s="58" t="s">
        <v>29</v>
      </c>
      <c r="T58" s="57" t="s">
        <v>29</v>
      </c>
    </row>
    <row r="59" spans="1:21" ht="15.75" customHeight="1" x14ac:dyDescent="0.2">
      <c r="A59" s="142" t="s">
        <v>73</v>
      </c>
      <c r="B59" s="143"/>
      <c r="C59" s="143"/>
      <c r="D59" s="143"/>
      <c r="E59" s="143"/>
      <c r="F59" s="144"/>
      <c r="G59" s="101">
        <f>SUM(G57:G58)</f>
        <v>2364</v>
      </c>
      <c r="H59" s="101">
        <f t="shared" ref="H59:T59" si="16">SUM(H57:H58)</f>
        <v>0</v>
      </c>
      <c r="I59" s="101">
        <f t="shared" si="16"/>
        <v>0</v>
      </c>
      <c r="J59" s="89">
        <f t="shared" si="16"/>
        <v>0</v>
      </c>
      <c r="K59" s="89">
        <f t="shared" si="16"/>
        <v>0</v>
      </c>
      <c r="L59" s="89">
        <f t="shared" si="16"/>
        <v>0</v>
      </c>
      <c r="M59" s="89">
        <f t="shared" si="16"/>
        <v>0</v>
      </c>
      <c r="N59" s="89">
        <f t="shared" si="16"/>
        <v>0</v>
      </c>
      <c r="O59" s="89">
        <f t="shared" si="16"/>
        <v>0</v>
      </c>
      <c r="P59" s="89">
        <f t="shared" si="16"/>
        <v>0</v>
      </c>
      <c r="Q59" s="89">
        <f t="shared" si="16"/>
        <v>0</v>
      </c>
      <c r="R59" s="89">
        <f t="shared" si="16"/>
        <v>0</v>
      </c>
      <c r="S59" s="89">
        <f t="shared" si="16"/>
        <v>0</v>
      </c>
      <c r="T59" s="89">
        <f t="shared" si="16"/>
        <v>0</v>
      </c>
    </row>
    <row r="60" spans="1:21" ht="26.25" customHeight="1" x14ac:dyDescent="0.2">
      <c r="A60" s="188" t="s">
        <v>10</v>
      </c>
      <c r="B60" s="184" t="s">
        <v>74</v>
      </c>
      <c r="C60" s="184" t="s">
        <v>75</v>
      </c>
      <c r="D60" s="184" t="s">
        <v>76</v>
      </c>
      <c r="E60" s="180" t="s">
        <v>77</v>
      </c>
      <c r="F60" s="181"/>
      <c r="G60" s="160" t="s">
        <v>78</v>
      </c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2"/>
    </row>
    <row r="61" spans="1:21" ht="100.5" customHeight="1" x14ac:dyDescent="0.2">
      <c r="A61" s="185"/>
      <c r="B61" s="185"/>
      <c r="C61" s="185"/>
      <c r="D61" s="185"/>
      <c r="E61" s="182"/>
      <c r="F61" s="189"/>
      <c r="G61" s="91" t="s">
        <v>42</v>
      </c>
      <c r="H61" s="91" t="s">
        <v>43</v>
      </c>
      <c r="I61" s="91" t="s">
        <v>44</v>
      </c>
      <c r="J61" s="91" t="s">
        <v>45</v>
      </c>
      <c r="K61" s="91" t="s">
        <v>46</v>
      </c>
      <c r="L61" s="91" t="s">
        <v>47</v>
      </c>
      <c r="M61" s="91" t="s">
        <v>48</v>
      </c>
      <c r="N61" s="91" t="s">
        <v>49</v>
      </c>
      <c r="O61" s="91" t="s">
        <v>50</v>
      </c>
      <c r="P61" s="91" t="s">
        <v>51</v>
      </c>
      <c r="Q61" s="91" t="s">
        <v>52</v>
      </c>
      <c r="R61" s="91" t="s">
        <v>53</v>
      </c>
      <c r="S61" s="92" t="s">
        <v>79</v>
      </c>
      <c r="T61" s="93" t="s">
        <v>54</v>
      </c>
    </row>
    <row r="62" spans="1:21" x14ac:dyDescent="0.2">
      <c r="A62" s="1">
        <v>1</v>
      </c>
      <c r="B62" s="2" t="s">
        <v>80</v>
      </c>
      <c r="C62" s="29">
        <v>3163</v>
      </c>
      <c r="D62" s="30" t="s">
        <v>83</v>
      </c>
      <c r="E62" s="186">
        <v>3344</v>
      </c>
      <c r="F62" s="187"/>
      <c r="G62" s="97">
        <v>501</v>
      </c>
      <c r="H62" s="104">
        <v>0</v>
      </c>
      <c r="I62" s="10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  <c r="P62" s="94">
        <v>0</v>
      </c>
      <c r="Q62" s="94">
        <v>0</v>
      </c>
      <c r="R62" s="94">
        <v>0</v>
      </c>
      <c r="S62" s="94">
        <v>0</v>
      </c>
      <c r="T62" s="94">
        <v>0</v>
      </c>
      <c r="U62" s="46"/>
    </row>
    <row r="63" spans="1:21" x14ac:dyDescent="0.2">
      <c r="A63" s="1">
        <v>2</v>
      </c>
      <c r="B63" s="2" t="s">
        <v>80</v>
      </c>
      <c r="C63" s="29">
        <v>3163</v>
      </c>
      <c r="D63" s="30" t="s">
        <v>84</v>
      </c>
      <c r="E63" s="186">
        <v>1444</v>
      </c>
      <c r="F63" s="187"/>
      <c r="G63" s="97">
        <v>230</v>
      </c>
      <c r="H63" s="104">
        <v>0</v>
      </c>
      <c r="I63" s="104">
        <v>0</v>
      </c>
      <c r="J63" s="94">
        <v>0</v>
      </c>
      <c r="K63" s="94">
        <v>0</v>
      </c>
      <c r="L63" s="94">
        <v>0</v>
      </c>
      <c r="M63" s="87">
        <v>1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46"/>
    </row>
    <row r="64" spans="1:21" x14ac:dyDescent="0.2">
      <c r="A64" s="1">
        <v>3</v>
      </c>
      <c r="B64" s="2" t="s">
        <v>80</v>
      </c>
      <c r="C64" s="29">
        <v>3163</v>
      </c>
      <c r="D64" s="30" t="s">
        <v>85</v>
      </c>
      <c r="E64" s="186">
        <v>506</v>
      </c>
      <c r="F64" s="187"/>
      <c r="G64" s="97">
        <v>80</v>
      </c>
      <c r="H64" s="104">
        <v>0</v>
      </c>
      <c r="I64" s="104">
        <v>0</v>
      </c>
      <c r="J64" s="94">
        <v>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0</v>
      </c>
      <c r="Q64" s="94">
        <v>0</v>
      </c>
      <c r="R64" s="94">
        <v>0</v>
      </c>
      <c r="S64" s="94">
        <v>0</v>
      </c>
      <c r="T64" s="94">
        <v>0</v>
      </c>
      <c r="U64" s="46"/>
    </row>
    <row r="65" spans="1:21" x14ac:dyDescent="0.2">
      <c r="A65" s="1">
        <v>4</v>
      </c>
      <c r="B65" s="2" t="s">
        <v>80</v>
      </c>
      <c r="C65" s="29">
        <v>3163</v>
      </c>
      <c r="D65" s="30" t="s">
        <v>82</v>
      </c>
      <c r="E65" s="186">
        <v>0</v>
      </c>
      <c r="F65" s="187"/>
      <c r="G65" s="97">
        <v>0</v>
      </c>
      <c r="H65" s="104">
        <v>0</v>
      </c>
      <c r="I65" s="10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46"/>
    </row>
    <row r="66" spans="1:21" x14ac:dyDescent="0.2">
      <c r="A66" s="1">
        <v>5</v>
      </c>
      <c r="B66" s="2" t="s">
        <v>80</v>
      </c>
      <c r="C66" s="29">
        <v>39094</v>
      </c>
      <c r="D66" s="30" t="s">
        <v>86</v>
      </c>
      <c r="E66" s="186">
        <v>210</v>
      </c>
      <c r="F66" s="187"/>
      <c r="G66" s="97">
        <v>39</v>
      </c>
      <c r="H66" s="104">
        <v>0</v>
      </c>
      <c r="I66" s="10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46"/>
    </row>
    <row r="67" spans="1:21" ht="15.75" customHeight="1" x14ac:dyDescent="0.2">
      <c r="A67" s="1">
        <v>6</v>
      </c>
      <c r="B67" s="2" t="s">
        <v>80</v>
      </c>
      <c r="C67" s="29">
        <v>374195</v>
      </c>
      <c r="D67" s="30" t="s">
        <v>81</v>
      </c>
      <c r="E67" s="186">
        <v>1283</v>
      </c>
      <c r="F67" s="187"/>
      <c r="G67" s="103">
        <v>215</v>
      </c>
      <c r="H67" s="104">
        <v>0</v>
      </c>
      <c r="I67" s="10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46"/>
    </row>
    <row r="68" spans="1:21" x14ac:dyDescent="0.2">
      <c r="A68" s="1">
        <v>7</v>
      </c>
      <c r="B68" s="2" t="s">
        <v>80</v>
      </c>
      <c r="C68" s="29">
        <v>31519</v>
      </c>
      <c r="D68" s="30" t="s">
        <v>87</v>
      </c>
      <c r="E68" s="186">
        <v>3102</v>
      </c>
      <c r="F68" s="187"/>
      <c r="G68" s="97">
        <v>516</v>
      </c>
      <c r="H68" s="104">
        <v>0</v>
      </c>
      <c r="I68" s="104">
        <v>0</v>
      </c>
      <c r="J68" s="94">
        <v>1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46"/>
    </row>
    <row r="69" spans="1:21" x14ac:dyDescent="0.2">
      <c r="A69" s="1">
        <v>8</v>
      </c>
      <c r="B69" s="2" t="s">
        <v>88</v>
      </c>
      <c r="C69" s="29">
        <v>3302</v>
      </c>
      <c r="D69" s="30" t="s">
        <v>89</v>
      </c>
      <c r="E69" s="186">
        <v>0</v>
      </c>
      <c r="F69" s="187"/>
      <c r="G69" s="97">
        <v>0</v>
      </c>
      <c r="H69" s="104">
        <v>0</v>
      </c>
      <c r="I69" s="10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46"/>
    </row>
    <row r="70" spans="1:21" x14ac:dyDescent="0.2">
      <c r="A70" s="1">
        <v>9</v>
      </c>
      <c r="B70" s="2" t="s">
        <v>90</v>
      </c>
      <c r="C70" s="30" t="s">
        <v>91</v>
      </c>
      <c r="D70" s="30" t="s">
        <v>92</v>
      </c>
      <c r="E70" s="186">
        <v>735</v>
      </c>
      <c r="F70" s="187"/>
      <c r="G70" s="97">
        <v>444</v>
      </c>
      <c r="H70" s="104">
        <v>0</v>
      </c>
      <c r="I70" s="104">
        <v>0</v>
      </c>
      <c r="J70" s="86">
        <v>1.5</v>
      </c>
      <c r="K70" s="94">
        <v>0</v>
      </c>
      <c r="L70" s="94">
        <v>0</v>
      </c>
      <c r="M70" s="94">
        <v>0</v>
      </c>
      <c r="N70" s="94">
        <v>0</v>
      </c>
      <c r="O70" s="94">
        <v>0</v>
      </c>
      <c r="P70" s="94">
        <v>0</v>
      </c>
      <c r="Q70" s="94">
        <v>0</v>
      </c>
      <c r="R70" s="94">
        <v>0</v>
      </c>
      <c r="S70" s="94">
        <v>0</v>
      </c>
      <c r="T70" s="94">
        <v>0</v>
      </c>
      <c r="U70" s="46"/>
    </row>
    <row r="71" spans="1:21" x14ac:dyDescent="0.2">
      <c r="A71" s="1">
        <v>10</v>
      </c>
      <c r="B71" s="2" t="s">
        <v>90</v>
      </c>
      <c r="C71" s="29">
        <v>431410</v>
      </c>
      <c r="D71" s="30" t="s">
        <v>93</v>
      </c>
      <c r="E71" s="186">
        <v>3106</v>
      </c>
      <c r="F71" s="187"/>
      <c r="G71" s="97">
        <v>1020</v>
      </c>
      <c r="H71" s="104">
        <v>0</v>
      </c>
      <c r="I71" s="104">
        <v>0</v>
      </c>
      <c r="J71" s="86">
        <v>4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0</v>
      </c>
      <c r="T71" s="94">
        <v>0</v>
      </c>
      <c r="U71" s="46"/>
    </row>
    <row r="72" spans="1:21" x14ac:dyDescent="0.2">
      <c r="A72" s="1">
        <v>11</v>
      </c>
      <c r="B72" s="2" t="s">
        <v>90</v>
      </c>
      <c r="C72" s="29">
        <v>131</v>
      </c>
      <c r="D72" s="30" t="s">
        <v>94</v>
      </c>
      <c r="E72" s="186">
        <v>0</v>
      </c>
      <c r="F72" s="187"/>
      <c r="G72" s="97">
        <v>0</v>
      </c>
      <c r="H72" s="104">
        <v>0</v>
      </c>
      <c r="I72" s="104">
        <v>0</v>
      </c>
      <c r="J72" s="94">
        <v>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94">
        <v>0</v>
      </c>
      <c r="T72" s="94">
        <v>0</v>
      </c>
      <c r="U72" s="46"/>
    </row>
    <row r="73" spans="1:21" x14ac:dyDescent="0.2">
      <c r="A73" s="1">
        <v>12</v>
      </c>
      <c r="B73" s="2" t="s">
        <v>90</v>
      </c>
      <c r="C73" s="29">
        <v>131</v>
      </c>
      <c r="D73" s="30" t="s">
        <v>95</v>
      </c>
      <c r="E73" s="186">
        <v>491</v>
      </c>
      <c r="F73" s="187"/>
      <c r="G73" s="97">
        <v>245</v>
      </c>
      <c r="H73" s="104">
        <v>0</v>
      </c>
      <c r="I73" s="104">
        <v>0</v>
      </c>
      <c r="J73" s="86">
        <v>0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94">
        <v>0</v>
      </c>
      <c r="U73" s="46"/>
    </row>
    <row r="74" spans="1:21" x14ac:dyDescent="0.2">
      <c r="A74" s="1">
        <v>13</v>
      </c>
      <c r="B74" s="2" t="s">
        <v>96</v>
      </c>
      <c r="C74" s="29">
        <v>1231</v>
      </c>
      <c r="D74" s="30" t="s">
        <v>97</v>
      </c>
      <c r="E74" s="186">
        <v>1705</v>
      </c>
      <c r="F74" s="187"/>
      <c r="G74" s="104">
        <v>0</v>
      </c>
      <c r="H74" s="104">
        <v>0</v>
      </c>
      <c r="I74" s="105">
        <v>197</v>
      </c>
      <c r="J74" s="94">
        <v>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94">
        <v>0</v>
      </c>
      <c r="T74" s="94">
        <v>0</v>
      </c>
      <c r="U74" s="46"/>
    </row>
    <row r="75" spans="1:21" x14ac:dyDescent="0.2">
      <c r="A75" s="1">
        <v>14</v>
      </c>
      <c r="B75" s="2" t="s">
        <v>98</v>
      </c>
      <c r="C75" s="30" t="s">
        <v>99</v>
      </c>
      <c r="D75" s="30" t="s">
        <v>100</v>
      </c>
      <c r="E75" s="186">
        <v>3820</v>
      </c>
      <c r="F75" s="187"/>
      <c r="G75" s="104">
        <v>0</v>
      </c>
      <c r="H75" s="104">
        <v>0</v>
      </c>
      <c r="I75" s="105">
        <v>408</v>
      </c>
      <c r="J75" s="94">
        <v>0</v>
      </c>
      <c r="K75" s="94">
        <v>0</v>
      </c>
      <c r="L75" s="94">
        <v>0</v>
      </c>
      <c r="M75" s="87">
        <v>0</v>
      </c>
      <c r="N75" s="94">
        <v>0</v>
      </c>
      <c r="O75" s="94">
        <v>0</v>
      </c>
      <c r="P75" s="94">
        <v>0</v>
      </c>
      <c r="Q75" s="94">
        <v>0</v>
      </c>
      <c r="R75" s="94">
        <v>0</v>
      </c>
      <c r="S75" s="94">
        <v>0</v>
      </c>
      <c r="T75" s="94">
        <v>0</v>
      </c>
      <c r="U75" s="46"/>
    </row>
    <row r="76" spans="1:21" x14ac:dyDescent="0.2">
      <c r="A76" s="1">
        <v>15</v>
      </c>
      <c r="B76" s="2" t="s">
        <v>101</v>
      </c>
      <c r="C76" s="30" t="s">
        <v>102</v>
      </c>
      <c r="D76" s="30" t="s">
        <v>103</v>
      </c>
      <c r="E76" s="186">
        <v>1563</v>
      </c>
      <c r="F76" s="187"/>
      <c r="G76" s="104">
        <v>0</v>
      </c>
      <c r="H76" s="104">
        <v>0</v>
      </c>
      <c r="I76" s="105">
        <v>139</v>
      </c>
      <c r="J76" s="94">
        <v>0</v>
      </c>
      <c r="K76" s="94">
        <v>0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0</v>
      </c>
      <c r="S76" s="94">
        <v>0</v>
      </c>
      <c r="T76" s="94">
        <v>0</v>
      </c>
      <c r="U76" s="46"/>
    </row>
    <row r="77" spans="1:21" x14ac:dyDescent="0.2">
      <c r="A77" s="1">
        <v>16</v>
      </c>
      <c r="B77" s="2" t="s">
        <v>104</v>
      </c>
      <c r="C77" s="29">
        <v>4320</v>
      </c>
      <c r="D77" s="30" t="s">
        <v>105</v>
      </c>
      <c r="E77" s="151">
        <v>418</v>
      </c>
      <c r="F77" s="152"/>
      <c r="G77" s="104">
        <v>0</v>
      </c>
      <c r="H77" s="104">
        <v>238</v>
      </c>
      <c r="I77" s="104">
        <v>0</v>
      </c>
      <c r="J77" s="94">
        <v>0</v>
      </c>
      <c r="K77" s="94">
        <v>0</v>
      </c>
      <c r="L77" s="94">
        <v>0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0</v>
      </c>
      <c r="S77" s="94">
        <v>0</v>
      </c>
      <c r="T77" s="94">
        <v>0</v>
      </c>
      <c r="U77" s="46"/>
    </row>
    <row r="78" spans="1:21" x14ac:dyDescent="0.2">
      <c r="A78" s="1">
        <v>17</v>
      </c>
      <c r="B78" s="2" t="s">
        <v>80</v>
      </c>
      <c r="C78" s="29">
        <v>315148</v>
      </c>
      <c r="D78" s="30" t="s">
        <v>106</v>
      </c>
      <c r="E78" s="151">
        <v>0</v>
      </c>
      <c r="F78" s="152"/>
      <c r="G78" s="104">
        <v>0</v>
      </c>
      <c r="H78" s="104">
        <v>0</v>
      </c>
      <c r="I78" s="104">
        <v>0</v>
      </c>
      <c r="J78" s="94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94">
        <v>0</v>
      </c>
      <c r="T78" s="94">
        <v>0</v>
      </c>
      <c r="U78" s="46"/>
    </row>
    <row r="79" spans="1:21" x14ac:dyDescent="0.2">
      <c r="A79" s="1">
        <v>18</v>
      </c>
      <c r="B79" s="2" t="s">
        <v>107</v>
      </c>
      <c r="C79" s="30" t="s">
        <v>108</v>
      </c>
      <c r="D79" s="30" t="s">
        <v>109</v>
      </c>
      <c r="E79" s="186">
        <v>206</v>
      </c>
      <c r="F79" s="187"/>
      <c r="G79" s="104">
        <v>0</v>
      </c>
      <c r="H79" s="97">
        <v>76</v>
      </c>
      <c r="I79" s="104">
        <v>0</v>
      </c>
      <c r="J79" s="94"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94">
        <f>2.5+1.3</f>
        <v>3.8</v>
      </c>
      <c r="U79" s="46"/>
    </row>
    <row r="80" spans="1:21" x14ac:dyDescent="0.2">
      <c r="A80" s="1">
        <v>19</v>
      </c>
      <c r="B80" s="2" t="s">
        <v>107</v>
      </c>
      <c r="C80" s="30" t="s">
        <v>110</v>
      </c>
      <c r="D80" s="30" t="s">
        <v>111</v>
      </c>
      <c r="E80" s="186">
        <v>0</v>
      </c>
      <c r="F80" s="187"/>
      <c r="G80" s="104">
        <v>0</v>
      </c>
      <c r="H80" s="97">
        <v>0</v>
      </c>
      <c r="I80" s="10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94">
        <v>0</v>
      </c>
      <c r="U80" s="46"/>
    </row>
    <row r="81" spans="1:22" x14ac:dyDescent="0.2">
      <c r="A81" s="1">
        <v>20</v>
      </c>
      <c r="B81" s="2" t="s">
        <v>107</v>
      </c>
      <c r="C81" s="30" t="s">
        <v>112</v>
      </c>
      <c r="D81" s="30" t="s">
        <v>113</v>
      </c>
      <c r="E81" s="186">
        <v>676</v>
      </c>
      <c r="F81" s="187"/>
      <c r="G81" s="104">
        <v>0</v>
      </c>
      <c r="H81" s="97">
        <v>344</v>
      </c>
      <c r="I81" s="10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46"/>
    </row>
    <row r="82" spans="1:22" x14ac:dyDescent="0.2">
      <c r="A82" s="1">
        <v>21</v>
      </c>
      <c r="B82" s="2" t="s">
        <v>107</v>
      </c>
      <c r="C82" s="29">
        <v>437143</v>
      </c>
      <c r="D82" s="30" t="s">
        <v>114</v>
      </c>
      <c r="E82" s="186">
        <v>2499</v>
      </c>
      <c r="F82" s="187"/>
      <c r="G82" s="104">
        <v>0</v>
      </c>
      <c r="H82" s="97">
        <v>500</v>
      </c>
      <c r="I82" s="104">
        <v>0</v>
      </c>
      <c r="J82" s="94">
        <v>0</v>
      </c>
      <c r="K82" s="94">
        <v>0</v>
      </c>
      <c r="L82" s="94">
        <v>0</v>
      </c>
      <c r="M82" s="94">
        <v>0</v>
      </c>
      <c r="N82" s="95"/>
      <c r="O82" s="86">
        <v>4</v>
      </c>
      <c r="P82" s="94">
        <v>0</v>
      </c>
      <c r="Q82" s="94">
        <v>0</v>
      </c>
      <c r="R82" s="94">
        <v>0</v>
      </c>
      <c r="S82" s="94">
        <v>0</v>
      </c>
      <c r="T82" s="94">
        <v>0</v>
      </c>
      <c r="U82" s="46"/>
    </row>
    <row r="83" spans="1:22" x14ac:dyDescent="0.2">
      <c r="A83" s="1">
        <v>22</v>
      </c>
      <c r="B83" s="2" t="s">
        <v>88</v>
      </c>
      <c r="C83" s="30" t="s">
        <v>115</v>
      </c>
      <c r="D83" s="30" t="s">
        <v>116</v>
      </c>
      <c r="E83" s="186">
        <v>5442</v>
      </c>
      <c r="F83" s="187"/>
      <c r="G83" s="104">
        <v>0</v>
      </c>
      <c r="H83" s="97">
        <v>730</v>
      </c>
      <c r="I83" s="104">
        <v>0</v>
      </c>
      <c r="J83" s="94">
        <v>0</v>
      </c>
      <c r="K83" s="94">
        <v>0</v>
      </c>
      <c r="L83" s="94">
        <v>0</v>
      </c>
      <c r="M83" s="94">
        <v>0</v>
      </c>
      <c r="N83" s="94">
        <v>0</v>
      </c>
      <c r="O83" s="94">
        <v>0</v>
      </c>
      <c r="P83" s="94">
        <v>0</v>
      </c>
      <c r="Q83" s="94">
        <v>0</v>
      </c>
      <c r="R83" s="94">
        <v>0</v>
      </c>
      <c r="S83" s="94">
        <v>0</v>
      </c>
      <c r="T83" s="94">
        <v>0</v>
      </c>
      <c r="U83" s="46"/>
    </row>
    <row r="84" spans="1:22" x14ac:dyDescent="0.2">
      <c r="A84" s="1">
        <v>23</v>
      </c>
      <c r="B84" s="2" t="s">
        <v>107</v>
      </c>
      <c r="C84" s="29">
        <v>5551</v>
      </c>
      <c r="D84" s="30" t="s">
        <v>117</v>
      </c>
      <c r="E84" s="186">
        <v>0</v>
      </c>
      <c r="F84" s="187"/>
      <c r="G84" s="104">
        <v>0</v>
      </c>
      <c r="H84" s="104">
        <v>0</v>
      </c>
      <c r="I84" s="104">
        <v>0</v>
      </c>
      <c r="J84" s="94">
        <v>0</v>
      </c>
      <c r="K84" s="94">
        <v>0</v>
      </c>
      <c r="L84" s="94">
        <v>0</v>
      </c>
      <c r="M84" s="94">
        <v>0</v>
      </c>
      <c r="N84" s="94">
        <v>0</v>
      </c>
      <c r="O84" s="94">
        <v>0</v>
      </c>
      <c r="P84" s="94">
        <v>0</v>
      </c>
      <c r="Q84" s="94">
        <v>0</v>
      </c>
      <c r="R84" s="94">
        <v>0</v>
      </c>
      <c r="S84" s="94">
        <v>0</v>
      </c>
      <c r="T84" s="94">
        <v>0</v>
      </c>
      <c r="U84" s="46"/>
    </row>
    <row r="85" spans="1:22" ht="17.25" customHeight="1" x14ac:dyDescent="0.2">
      <c r="A85" s="1">
        <v>24</v>
      </c>
      <c r="B85" s="2" t="s">
        <v>107</v>
      </c>
      <c r="C85" s="29">
        <v>6303</v>
      </c>
      <c r="D85" s="30" t="s">
        <v>118</v>
      </c>
      <c r="E85" s="186">
        <v>230</v>
      </c>
      <c r="F85" s="187"/>
      <c r="G85" s="104">
        <v>0</v>
      </c>
      <c r="H85" s="97">
        <v>163</v>
      </c>
      <c r="I85" s="10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87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46"/>
    </row>
    <row r="86" spans="1:22" x14ac:dyDescent="0.2">
      <c r="A86" s="1">
        <v>25</v>
      </c>
      <c r="B86" s="2" t="s">
        <v>119</v>
      </c>
      <c r="C86" s="29">
        <v>420224</v>
      </c>
      <c r="D86" s="30" t="s">
        <v>120</v>
      </c>
      <c r="E86" s="186">
        <v>4393</v>
      </c>
      <c r="F86" s="187"/>
      <c r="G86" s="104">
        <v>0</v>
      </c>
      <c r="H86" s="97">
        <v>919</v>
      </c>
      <c r="I86" s="104">
        <v>0</v>
      </c>
      <c r="J86" s="94">
        <v>0</v>
      </c>
      <c r="K86" s="94">
        <v>0</v>
      </c>
      <c r="L86" s="94">
        <v>0</v>
      </c>
      <c r="M86" s="94">
        <v>0</v>
      </c>
      <c r="N86" s="94">
        <v>0</v>
      </c>
      <c r="O86" s="94">
        <v>0</v>
      </c>
      <c r="P86" s="94">
        <v>0</v>
      </c>
      <c r="Q86" s="94">
        <v>0</v>
      </c>
      <c r="R86" s="94">
        <v>0</v>
      </c>
      <c r="S86" s="94">
        <v>0</v>
      </c>
      <c r="T86" s="94">
        <v>0</v>
      </c>
      <c r="U86" s="46"/>
    </row>
    <row r="87" spans="1:22" x14ac:dyDescent="0.2">
      <c r="A87" s="1">
        <v>26</v>
      </c>
      <c r="B87" s="2" t="s">
        <v>88</v>
      </c>
      <c r="C87" s="29">
        <v>331041</v>
      </c>
      <c r="D87" s="30" t="s">
        <v>121</v>
      </c>
      <c r="E87" s="151">
        <v>3120</v>
      </c>
      <c r="F87" s="152"/>
      <c r="G87" s="104">
        <v>0</v>
      </c>
      <c r="H87" s="98">
        <v>567</v>
      </c>
      <c r="I87" s="10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4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46"/>
    </row>
    <row r="88" spans="1:22" x14ac:dyDescent="0.25">
      <c r="A88" s="1">
        <v>27</v>
      </c>
      <c r="B88" s="2" t="s">
        <v>122</v>
      </c>
      <c r="C88" s="30" t="s">
        <v>123</v>
      </c>
      <c r="D88" s="30" t="s">
        <v>124</v>
      </c>
      <c r="E88" s="151">
        <v>0</v>
      </c>
      <c r="F88" s="152"/>
      <c r="G88" s="104">
        <v>0</v>
      </c>
      <c r="H88" s="98">
        <v>0</v>
      </c>
      <c r="I88" s="104">
        <v>0</v>
      </c>
      <c r="J88" s="94">
        <v>0</v>
      </c>
      <c r="K88" s="94">
        <v>0</v>
      </c>
      <c r="L88" s="94">
        <v>0</v>
      </c>
      <c r="M88" s="94">
        <v>0</v>
      </c>
      <c r="N88" s="94">
        <v>0</v>
      </c>
      <c r="O88" s="94">
        <v>0</v>
      </c>
      <c r="P88" s="94">
        <v>0</v>
      </c>
      <c r="Q88" s="94">
        <v>0</v>
      </c>
      <c r="R88" s="94">
        <v>0</v>
      </c>
      <c r="S88" s="94">
        <v>0</v>
      </c>
      <c r="T88" s="94">
        <v>0</v>
      </c>
      <c r="U88" s="46"/>
      <c r="V88" s="31"/>
    </row>
    <row r="89" spans="1:22" x14ac:dyDescent="0.25">
      <c r="A89" s="1">
        <v>28</v>
      </c>
      <c r="B89" s="2" t="s">
        <v>88</v>
      </c>
      <c r="C89" s="29">
        <v>66</v>
      </c>
      <c r="D89" s="30" t="s">
        <v>125</v>
      </c>
      <c r="E89" s="151">
        <v>0</v>
      </c>
      <c r="F89" s="152"/>
      <c r="G89" s="104">
        <v>0</v>
      </c>
      <c r="H89" s="104">
        <v>0</v>
      </c>
      <c r="I89" s="104">
        <v>0</v>
      </c>
      <c r="J89" s="94">
        <v>0</v>
      </c>
      <c r="K89" s="94">
        <v>0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94">
        <v>0</v>
      </c>
      <c r="T89" s="94">
        <v>0</v>
      </c>
      <c r="U89" s="46"/>
      <c r="V89" s="31"/>
    </row>
    <row r="90" spans="1:22" x14ac:dyDescent="0.25">
      <c r="A90" s="1">
        <v>29</v>
      </c>
      <c r="B90" s="2" t="s">
        <v>88</v>
      </c>
      <c r="C90" s="29">
        <v>66</v>
      </c>
      <c r="D90" s="30" t="s">
        <v>126</v>
      </c>
      <c r="E90" s="151">
        <v>226</v>
      </c>
      <c r="F90" s="152"/>
      <c r="G90" s="104">
        <v>79</v>
      </c>
      <c r="H90" s="104">
        <v>0</v>
      </c>
      <c r="I90" s="104">
        <v>0</v>
      </c>
      <c r="J90" s="94">
        <v>0</v>
      </c>
      <c r="K90" s="94">
        <v>0</v>
      </c>
      <c r="L90" s="94">
        <v>0</v>
      </c>
      <c r="M90" s="94">
        <v>0</v>
      </c>
      <c r="N90" s="94">
        <v>0</v>
      </c>
      <c r="O90" s="94">
        <v>0</v>
      </c>
      <c r="P90" s="94">
        <v>0</v>
      </c>
      <c r="Q90" s="94">
        <v>0</v>
      </c>
      <c r="R90" s="94">
        <v>0</v>
      </c>
      <c r="S90" s="94">
        <v>0</v>
      </c>
      <c r="T90" s="94">
        <v>0</v>
      </c>
      <c r="U90" s="46"/>
      <c r="V90" s="31"/>
    </row>
    <row r="91" spans="1:22" ht="17.850000000000001" customHeight="1" x14ac:dyDescent="0.25">
      <c r="A91" s="1">
        <v>30</v>
      </c>
      <c r="B91" s="2" t="s">
        <v>88</v>
      </c>
      <c r="C91" s="29">
        <v>32213</v>
      </c>
      <c r="D91" s="30" t="s">
        <v>127</v>
      </c>
      <c r="E91" s="151">
        <v>0</v>
      </c>
      <c r="F91" s="152"/>
      <c r="G91" s="104">
        <v>0</v>
      </c>
      <c r="H91" s="104">
        <v>0</v>
      </c>
      <c r="I91" s="10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 s="94">
        <v>0</v>
      </c>
      <c r="T91" s="94">
        <v>0</v>
      </c>
      <c r="U91" s="46"/>
      <c r="V91" s="31"/>
    </row>
    <row r="92" spans="1:22" ht="16.5" customHeight="1" x14ac:dyDescent="0.2">
      <c r="A92" s="1">
        <v>31</v>
      </c>
      <c r="B92" s="2" t="s">
        <v>90</v>
      </c>
      <c r="C92" s="29">
        <v>131</v>
      </c>
      <c r="D92" s="30" t="s">
        <v>128</v>
      </c>
      <c r="E92" s="151">
        <v>0</v>
      </c>
      <c r="F92" s="152"/>
      <c r="G92" s="104">
        <v>0</v>
      </c>
      <c r="H92" s="104">
        <v>0</v>
      </c>
      <c r="I92" s="10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46"/>
      <c r="V92" s="13"/>
    </row>
    <row r="93" spans="1:22" ht="17.25" customHeight="1" x14ac:dyDescent="0.2">
      <c r="A93" s="1">
        <v>32</v>
      </c>
      <c r="B93" s="2" t="s">
        <v>107</v>
      </c>
      <c r="C93" s="29">
        <v>437143</v>
      </c>
      <c r="D93" s="30" t="s">
        <v>129</v>
      </c>
      <c r="E93" s="151">
        <v>0</v>
      </c>
      <c r="F93" s="152"/>
      <c r="G93" s="104">
        <v>0</v>
      </c>
      <c r="H93" s="104">
        <v>0</v>
      </c>
      <c r="I93" s="104">
        <v>0</v>
      </c>
      <c r="J93" s="94">
        <v>0</v>
      </c>
      <c r="K93" s="94">
        <v>0</v>
      </c>
      <c r="L93" s="94">
        <v>0</v>
      </c>
      <c r="M93" s="94">
        <v>0</v>
      </c>
      <c r="N93" s="94">
        <v>0</v>
      </c>
      <c r="O93" s="94">
        <v>0</v>
      </c>
      <c r="P93" s="94">
        <v>0</v>
      </c>
      <c r="Q93" s="94">
        <v>0</v>
      </c>
      <c r="R93" s="94">
        <v>0</v>
      </c>
      <c r="S93" s="94">
        <v>0</v>
      </c>
      <c r="T93" s="94">
        <v>0</v>
      </c>
      <c r="U93" s="46"/>
      <c r="V93" s="32"/>
    </row>
    <row r="94" spans="1:22" ht="26.25" customHeight="1" x14ac:dyDescent="0.2">
      <c r="A94" s="157" t="s">
        <v>130</v>
      </c>
      <c r="B94" s="158"/>
      <c r="C94" s="158"/>
      <c r="D94" s="158"/>
      <c r="E94" s="158"/>
      <c r="F94" s="159"/>
      <c r="G94" s="96">
        <f>SUM(G62:G93)</f>
        <v>3369</v>
      </c>
      <c r="H94" s="96">
        <f t="shared" ref="H94:T94" si="17">SUM(H62:H93)</f>
        <v>3537</v>
      </c>
      <c r="I94" s="96">
        <f t="shared" si="17"/>
        <v>744</v>
      </c>
      <c r="J94" s="85">
        <f t="shared" si="17"/>
        <v>6.5</v>
      </c>
      <c r="K94" s="85">
        <f t="shared" si="17"/>
        <v>0</v>
      </c>
      <c r="L94" s="85">
        <f t="shared" si="17"/>
        <v>0</v>
      </c>
      <c r="M94" s="85">
        <f>SUM(M62:M93)</f>
        <v>1</v>
      </c>
      <c r="N94" s="85">
        <f t="shared" si="17"/>
        <v>0</v>
      </c>
      <c r="O94" s="85">
        <f>SUM(O62:O93)</f>
        <v>8</v>
      </c>
      <c r="P94" s="85">
        <f t="shared" si="17"/>
        <v>0</v>
      </c>
      <c r="Q94" s="85">
        <f t="shared" si="17"/>
        <v>0</v>
      </c>
      <c r="R94" s="85">
        <f t="shared" si="17"/>
        <v>0</v>
      </c>
      <c r="S94" s="85">
        <f t="shared" si="17"/>
        <v>0</v>
      </c>
      <c r="T94" s="85">
        <f t="shared" si="17"/>
        <v>3.8</v>
      </c>
      <c r="U94" s="13"/>
      <c r="V94" s="13"/>
    </row>
    <row r="95" spans="1:22" ht="59.25" customHeight="1" x14ac:dyDescent="0.2">
      <c r="A95" s="153" t="s">
        <v>131</v>
      </c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33"/>
      <c r="V95" s="33"/>
    </row>
    <row r="96" spans="1:22" ht="29.25" customHeight="1" x14ac:dyDescent="0.2">
      <c r="A96" s="154" t="s">
        <v>132</v>
      </c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</row>
    <row r="97" spans="1:22" ht="95.25" customHeight="1" x14ac:dyDescent="0.2">
      <c r="A97" s="155" t="s">
        <v>133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4"/>
    </row>
    <row r="98" spans="1:22" ht="35.25" customHeight="1" x14ac:dyDescent="0.2">
      <c r="A98" s="156" t="s">
        <v>134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34"/>
      <c r="V98" s="34"/>
    </row>
  </sheetData>
  <mergeCells count="125">
    <mergeCell ref="A96:T96"/>
    <mergeCell ref="A97:T97"/>
    <mergeCell ref="A98:T98"/>
    <mergeCell ref="S3:S4"/>
    <mergeCell ref="T3:T4"/>
    <mergeCell ref="B5:E5"/>
    <mergeCell ref="A1:I1"/>
    <mergeCell ref="A2:I2"/>
    <mergeCell ref="J2:L2"/>
    <mergeCell ref="A3:A4"/>
    <mergeCell ref="B3:E4"/>
    <mergeCell ref="F3:F4"/>
    <mergeCell ref="G3:G4"/>
    <mergeCell ref="H3:H4"/>
    <mergeCell ref="I3:L3"/>
    <mergeCell ref="B6:E6"/>
    <mergeCell ref="B15:E15"/>
    <mergeCell ref="B16:E16"/>
    <mergeCell ref="B17:E17"/>
    <mergeCell ref="B18:E18"/>
    <mergeCell ref="B19:E19"/>
    <mergeCell ref="M3:P3"/>
    <mergeCell ref="Q3:Q4"/>
    <mergeCell ref="R3:R4"/>
    <mergeCell ref="B26:E26"/>
    <mergeCell ref="B27:E27"/>
    <mergeCell ref="B28:E28"/>
    <mergeCell ref="B29:E29"/>
    <mergeCell ref="B30:E30"/>
    <mergeCell ref="B31:E31"/>
    <mergeCell ref="B20:E20"/>
    <mergeCell ref="B21:E21"/>
    <mergeCell ref="B22:E22"/>
    <mergeCell ref="B23:E23"/>
    <mergeCell ref="B24:E24"/>
    <mergeCell ref="B25:E25"/>
    <mergeCell ref="E40:F40"/>
    <mergeCell ref="B36:C36"/>
    <mergeCell ref="E36:F36"/>
    <mergeCell ref="B37:C37"/>
    <mergeCell ref="E37:F37"/>
    <mergeCell ref="B32:E32"/>
    <mergeCell ref="A33:T33"/>
    <mergeCell ref="A34:A35"/>
    <mergeCell ref="B34:C35"/>
    <mergeCell ref="D34:D35"/>
    <mergeCell ref="E34:F35"/>
    <mergeCell ref="G34:T34"/>
    <mergeCell ref="E38:F38"/>
    <mergeCell ref="E39:F39"/>
    <mergeCell ref="B40:C40"/>
    <mergeCell ref="A41:F41"/>
    <mergeCell ref="B49:C49"/>
    <mergeCell ref="E49:F49"/>
    <mergeCell ref="B52:C52"/>
    <mergeCell ref="E52:F52"/>
    <mergeCell ref="B46:C46"/>
    <mergeCell ref="E46:F46"/>
    <mergeCell ref="B47:C47"/>
    <mergeCell ref="E47:F47"/>
    <mergeCell ref="A48:F48"/>
    <mergeCell ref="B45:C45"/>
    <mergeCell ref="E45:F45"/>
    <mergeCell ref="B50:C50"/>
    <mergeCell ref="E50:F50"/>
    <mergeCell ref="A51:F51"/>
    <mergeCell ref="B42:C42"/>
    <mergeCell ref="E42:F42"/>
    <mergeCell ref="B43:C43"/>
    <mergeCell ref="E43:F43"/>
    <mergeCell ref="B44:C44"/>
    <mergeCell ref="E44:F44"/>
    <mergeCell ref="A59:F59"/>
    <mergeCell ref="A60:A61"/>
    <mergeCell ref="B60:B61"/>
    <mergeCell ref="C60:C61"/>
    <mergeCell ref="D60:D61"/>
    <mergeCell ref="E60:F61"/>
    <mergeCell ref="A56:F56"/>
    <mergeCell ref="A57:A58"/>
    <mergeCell ref="A53:F53"/>
    <mergeCell ref="A54:A55"/>
    <mergeCell ref="B54:C54"/>
    <mergeCell ref="E54:F54"/>
    <mergeCell ref="B55:C55"/>
    <mergeCell ref="E55:F55"/>
    <mergeCell ref="B57:C57"/>
    <mergeCell ref="E57:F57"/>
    <mergeCell ref="B58:C58"/>
    <mergeCell ref="E58:F58"/>
    <mergeCell ref="G60:T60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62:F62"/>
    <mergeCell ref="E63:F63"/>
    <mergeCell ref="A95:T95"/>
    <mergeCell ref="E88:F88"/>
    <mergeCell ref="E89:F89"/>
    <mergeCell ref="E90:F90"/>
    <mergeCell ref="E82:F82"/>
    <mergeCell ref="E83:F83"/>
    <mergeCell ref="E84:F84"/>
    <mergeCell ref="E85:F85"/>
    <mergeCell ref="E86:F86"/>
    <mergeCell ref="E87:F87"/>
    <mergeCell ref="E91:F91"/>
    <mergeCell ref="E92:F92"/>
    <mergeCell ref="E93:F93"/>
    <mergeCell ref="A94:F94"/>
  </mergeCells>
  <pageMargins left="0.7" right="0.7" top="0.75" bottom="0.75" header="0.3" footer="0.3"/>
  <pageSetup paperSize="9" scale="55" fitToHeight="0" orientation="landscape" r:id="rId1"/>
  <rowBreaks count="1" manualBreakCount="1"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"/>
  <sheetViews>
    <sheetView topLeftCell="A33" workbookViewId="0">
      <selection activeCell="Q31" sqref="Q31"/>
    </sheetView>
  </sheetViews>
  <sheetFormatPr defaultColWidth="9.33203125" defaultRowHeight="15.75" x14ac:dyDescent="0.2"/>
  <cols>
    <col min="1" max="1" width="6.5" style="7" customWidth="1"/>
    <col min="2" max="2" width="22.5" style="7" customWidth="1"/>
    <col min="3" max="3" width="15.6640625" style="7" customWidth="1"/>
    <col min="4" max="4" width="19.5" style="7" customWidth="1"/>
    <col min="5" max="5" width="14.1640625" style="7" customWidth="1"/>
    <col min="6" max="6" width="11.5" style="7" customWidth="1"/>
    <col min="7" max="7" width="10.5" style="7" customWidth="1"/>
    <col min="8" max="20" width="12.6640625" style="7" customWidth="1"/>
    <col min="21" max="22" width="10.5" style="7" customWidth="1"/>
    <col min="23" max="23" width="5.83203125" style="7" customWidth="1"/>
    <col min="24" max="24" width="3.33203125" style="7" customWidth="1"/>
    <col min="25" max="16384" width="9.33203125" style="7"/>
  </cols>
  <sheetData>
    <row r="1" spans="1:21" ht="48.75" customHeight="1" x14ac:dyDescent="0.2">
      <c r="A1" s="128" t="s">
        <v>150</v>
      </c>
      <c r="B1" s="128"/>
      <c r="C1" s="128"/>
      <c r="D1" s="128"/>
      <c r="E1" s="128"/>
      <c r="F1" s="128"/>
      <c r="G1" s="128"/>
      <c r="H1" s="128"/>
      <c r="I1" s="128"/>
    </row>
    <row r="2" spans="1:21" ht="25.5" customHeight="1" x14ac:dyDescent="0.2">
      <c r="A2" s="125" t="s">
        <v>145</v>
      </c>
      <c r="B2" s="125"/>
      <c r="C2" s="125"/>
      <c r="D2" s="125"/>
      <c r="E2" s="125"/>
      <c r="F2" s="125"/>
      <c r="G2" s="125"/>
      <c r="H2" s="125"/>
      <c r="I2" s="125"/>
      <c r="J2" s="126">
        <v>46042</v>
      </c>
      <c r="K2" s="127"/>
      <c r="L2" s="127"/>
      <c r="M2" s="14"/>
      <c r="N2" s="14"/>
      <c r="O2" s="14"/>
      <c r="P2" s="14"/>
      <c r="Q2" s="14"/>
      <c r="R2" s="14"/>
      <c r="S2" s="14"/>
      <c r="T2" s="14"/>
      <c r="U2" s="14"/>
    </row>
    <row r="3" spans="1:21" ht="18" customHeight="1" x14ac:dyDescent="0.25">
      <c r="A3" s="178" t="s">
        <v>19</v>
      </c>
      <c r="B3" s="180" t="s">
        <v>20</v>
      </c>
      <c r="C3" s="194"/>
      <c r="D3" s="194"/>
      <c r="E3" s="181"/>
      <c r="F3" s="178" t="s">
        <v>21</v>
      </c>
      <c r="G3" s="178" t="s">
        <v>22</v>
      </c>
      <c r="H3" s="201" t="s">
        <v>146</v>
      </c>
      <c r="I3" s="195" t="s">
        <v>17</v>
      </c>
      <c r="J3" s="196"/>
      <c r="K3" s="196"/>
      <c r="L3" s="197"/>
      <c r="M3" s="195" t="s">
        <v>18</v>
      </c>
      <c r="N3" s="196"/>
      <c r="O3" s="196"/>
      <c r="P3" s="197"/>
      <c r="Q3" s="163" t="s">
        <v>147</v>
      </c>
      <c r="R3" s="165" t="s">
        <v>148</v>
      </c>
      <c r="S3" s="167" t="s">
        <v>23</v>
      </c>
      <c r="T3" s="168" t="s">
        <v>24</v>
      </c>
      <c r="U3" s="11"/>
    </row>
    <row r="4" spans="1:21" s="10" customFormat="1" ht="147.75" customHeight="1" x14ac:dyDescent="0.25">
      <c r="A4" s="179"/>
      <c r="B4" s="182"/>
      <c r="C4" s="189"/>
      <c r="D4" s="189"/>
      <c r="E4" s="183"/>
      <c r="F4" s="179"/>
      <c r="G4" s="179"/>
      <c r="H4" s="202"/>
      <c r="I4" s="8" t="s">
        <v>11</v>
      </c>
      <c r="J4" s="4" t="s">
        <v>16</v>
      </c>
      <c r="K4" s="5" t="s">
        <v>12</v>
      </c>
      <c r="L4" s="48" t="s">
        <v>151</v>
      </c>
      <c r="M4" s="49" t="s">
        <v>152</v>
      </c>
      <c r="N4" s="8" t="s">
        <v>14</v>
      </c>
      <c r="O4" s="8" t="s">
        <v>15</v>
      </c>
      <c r="P4" s="50" t="s">
        <v>13</v>
      </c>
      <c r="Q4" s="164"/>
      <c r="R4" s="166"/>
      <c r="S4" s="167"/>
      <c r="T4" s="168"/>
      <c r="U4" s="9"/>
    </row>
    <row r="5" spans="1:21" ht="12.75" customHeight="1" x14ac:dyDescent="0.25">
      <c r="A5" s="27">
        <v>1</v>
      </c>
      <c r="B5" s="198">
        <v>2</v>
      </c>
      <c r="C5" s="199"/>
      <c r="D5" s="199"/>
      <c r="E5" s="200"/>
      <c r="F5" s="18">
        <v>3</v>
      </c>
      <c r="G5" s="20">
        <v>4</v>
      </c>
      <c r="H5" s="41">
        <v>5</v>
      </c>
      <c r="I5" s="20">
        <v>6</v>
      </c>
      <c r="J5" s="18">
        <v>7</v>
      </c>
      <c r="K5" s="18">
        <v>8</v>
      </c>
      <c r="L5" s="39">
        <v>9</v>
      </c>
      <c r="M5" s="43">
        <v>10</v>
      </c>
      <c r="N5" s="20">
        <v>11</v>
      </c>
      <c r="O5" s="20">
        <v>12</v>
      </c>
      <c r="P5" s="40">
        <v>13</v>
      </c>
      <c r="Q5" s="40">
        <v>14</v>
      </c>
      <c r="R5" s="42">
        <v>15</v>
      </c>
      <c r="S5" s="47">
        <v>16</v>
      </c>
      <c r="T5" s="38">
        <v>17</v>
      </c>
      <c r="U5" s="11"/>
    </row>
    <row r="6" spans="1:21" ht="30.75" customHeight="1" x14ac:dyDescent="0.2">
      <c r="A6" s="15">
        <v>1</v>
      </c>
      <c r="B6" s="138" t="s">
        <v>135</v>
      </c>
      <c r="C6" s="139"/>
      <c r="D6" s="139"/>
      <c r="E6" s="140"/>
      <c r="F6" s="17" t="s">
        <v>25</v>
      </c>
      <c r="G6" s="30" t="s">
        <v>29</v>
      </c>
      <c r="H6" s="68">
        <v>3161</v>
      </c>
      <c r="I6" s="69">
        <f>$G41</f>
        <v>4160</v>
      </c>
      <c r="J6" s="69">
        <f>$G48</f>
        <v>271</v>
      </c>
      <c r="K6" s="69">
        <f>$G51</f>
        <v>0</v>
      </c>
      <c r="L6" s="70">
        <f>SUM(I6:K6)</f>
        <v>4431</v>
      </c>
      <c r="M6" s="69">
        <f>$G53</f>
        <v>4325</v>
      </c>
      <c r="N6" s="69">
        <f>$G56</f>
        <v>301</v>
      </c>
      <c r="O6" s="69">
        <f>$G59</f>
        <v>0</v>
      </c>
      <c r="P6" s="71">
        <f>SUM(M6:O6)</f>
        <v>4626</v>
      </c>
      <c r="Q6" s="72">
        <f>H6+L6-P6</f>
        <v>2966</v>
      </c>
      <c r="R6" s="73">
        <f>M6+S6</f>
        <v>4325</v>
      </c>
      <c r="S6" s="74">
        <v>0</v>
      </c>
      <c r="T6" s="75">
        <v>0</v>
      </c>
      <c r="U6" s="12"/>
    </row>
    <row r="7" spans="1:21" ht="36.75" hidden="1" customHeight="1" x14ac:dyDescent="0.2">
      <c r="A7" s="15"/>
      <c r="B7" s="19" t="s">
        <v>1</v>
      </c>
      <c r="C7" s="35"/>
      <c r="D7" s="36"/>
      <c r="E7" s="35"/>
      <c r="F7" s="17"/>
      <c r="G7" s="30" t="s">
        <v>29</v>
      </c>
      <c r="H7" s="68"/>
      <c r="I7" s="76"/>
      <c r="J7" s="77"/>
      <c r="K7" s="78"/>
      <c r="L7" s="70">
        <f t="shared" ref="L7:L26" si="0">SUM(I7:K7)</f>
        <v>0</v>
      </c>
      <c r="M7" s="69">
        <f t="shared" ref="M7:M14" ca="1" si="1">R7-S7</f>
        <v>0</v>
      </c>
      <c r="N7" s="79">
        <v>14</v>
      </c>
      <c r="O7" s="79">
        <v>158</v>
      </c>
      <c r="P7" s="71">
        <f t="shared" ref="P7:P26" ca="1" si="2">SUM(M7:O7)</f>
        <v>172</v>
      </c>
      <c r="Q7" s="72">
        <f t="shared" ref="Q7:Q26" ca="1" si="3">H7+L7-P7</f>
        <v>-172</v>
      </c>
      <c r="R7" s="73">
        <f t="shared" ref="R7:R26" ca="1" si="4">M7+S7</f>
        <v>0</v>
      </c>
      <c r="S7" s="74">
        <v>0</v>
      </c>
      <c r="T7" s="75">
        <v>0</v>
      </c>
      <c r="U7" s="12"/>
    </row>
    <row r="8" spans="1:21" ht="36.75" hidden="1" customHeight="1" x14ac:dyDescent="0.2">
      <c r="A8" s="15"/>
      <c r="B8" s="19" t="s">
        <v>2</v>
      </c>
      <c r="C8" s="35"/>
      <c r="D8" s="36"/>
      <c r="E8" s="35"/>
      <c r="F8" s="17"/>
      <c r="G8" s="30" t="s">
        <v>29</v>
      </c>
      <c r="H8" s="68"/>
      <c r="I8" s="76"/>
      <c r="J8" s="77"/>
      <c r="K8" s="78"/>
      <c r="L8" s="70">
        <f t="shared" si="0"/>
        <v>0</v>
      </c>
      <c r="M8" s="69">
        <f t="shared" ca="1" si="1"/>
        <v>0</v>
      </c>
      <c r="N8" s="79"/>
      <c r="O8" s="79"/>
      <c r="P8" s="71">
        <f t="shared" ca="1" si="2"/>
        <v>0</v>
      </c>
      <c r="Q8" s="72">
        <f t="shared" ca="1" si="3"/>
        <v>0</v>
      </c>
      <c r="R8" s="73">
        <f t="shared" ca="1" si="4"/>
        <v>0</v>
      </c>
      <c r="S8" s="74">
        <v>0</v>
      </c>
      <c r="T8" s="75">
        <v>0</v>
      </c>
      <c r="U8" s="12"/>
    </row>
    <row r="9" spans="1:21" ht="36.75" hidden="1" customHeight="1" x14ac:dyDescent="0.2">
      <c r="A9" s="15"/>
      <c r="B9" s="19" t="s">
        <v>3</v>
      </c>
      <c r="C9" s="35"/>
      <c r="D9" s="36"/>
      <c r="E9" s="35"/>
      <c r="F9" s="17"/>
      <c r="G9" s="30" t="s">
        <v>29</v>
      </c>
      <c r="H9" s="68"/>
      <c r="I9" s="76"/>
      <c r="J9" s="77"/>
      <c r="K9" s="78"/>
      <c r="L9" s="70">
        <f t="shared" si="0"/>
        <v>0</v>
      </c>
      <c r="M9" s="69">
        <f t="shared" ca="1" si="1"/>
        <v>0</v>
      </c>
      <c r="N9" s="79"/>
      <c r="O9" s="79"/>
      <c r="P9" s="71">
        <f t="shared" ca="1" si="2"/>
        <v>0</v>
      </c>
      <c r="Q9" s="72">
        <f t="shared" ca="1" si="3"/>
        <v>0</v>
      </c>
      <c r="R9" s="73">
        <f t="shared" ca="1" si="4"/>
        <v>0</v>
      </c>
      <c r="S9" s="74">
        <v>0</v>
      </c>
      <c r="T9" s="75">
        <v>0</v>
      </c>
      <c r="U9" s="12"/>
    </row>
    <row r="10" spans="1:21" ht="36.75" hidden="1" customHeight="1" x14ac:dyDescent="0.2">
      <c r="A10" s="15"/>
      <c r="B10" s="19" t="s">
        <v>4</v>
      </c>
      <c r="C10" s="35"/>
      <c r="D10" s="36"/>
      <c r="E10" s="35"/>
      <c r="F10" s="17"/>
      <c r="G10" s="30" t="s">
        <v>29</v>
      </c>
      <c r="H10" s="68"/>
      <c r="I10" s="76"/>
      <c r="J10" s="77"/>
      <c r="K10" s="78"/>
      <c r="L10" s="70">
        <f t="shared" si="0"/>
        <v>0</v>
      </c>
      <c r="M10" s="69">
        <f t="shared" ca="1" si="1"/>
        <v>0</v>
      </c>
      <c r="N10" s="79"/>
      <c r="O10" s="79"/>
      <c r="P10" s="71">
        <f t="shared" ca="1" si="2"/>
        <v>0</v>
      </c>
      <c r="Q10" s="72">
        <f t="shared" ca="1" si="3"/>
        <v>0</v>
      </c>
      <c r="R10" s="73">
        <f t="shared" ca="1" si="4"/>
        <v>0</v>
      </c>
      <c r="S10" s="74">
        <v>0</v>
      </c>
      <c r="T10" s="75">
        <v>0</v>
      </c>
      <c r="U10" s="12"/>
    </row>
    <row r="11" spans="1:21" ht="36.75" hidden="1" customHeight="1" x14ac:dyDescent="0.2">
      <c r="A11" s="15"/>
      <c r="B11" s="19" t="s">
        <v>5</v>
      </c>
      <c r="C11" s="35"/>
      <c r="D11" s="36"/>
      <c r="E11" s="35"/>
      <c r="F11" s="17"/>
      <c r="G11" s="30" t="s">
        <v>29</v>
      </c>
      <c r="H11" s="68"/>
      <c r="I11" s="76">
        <v>3763</v>
      </c>
      <c r="J11" s="77">
        <v>271</v>
      </c>
      <c r="K11" s="78"/>
      <c r="L11" s="70">
        <f t="shared" si="0"/>
        <v>4034</v>
      </c>
      <c r="M11" s="69">
        <f t="shared" ca="1" si="1"/>
        <v>0</v>
      </c>
      <c r="N11" s="79"/>
      <c r="O11" s="79"/>
      <c r="P11" s="71">
        <f t="shared" ca="1" si="2"/>
        <v>0</v>
      </c>
      <c r="Q11" s="72">
        <f t="shared" ca="1" si="3"/>
        <v>4034</v>
      </c>
      <c r="R11" s="73">
        <f t="shared" ca="1" si="4"/>
        <v>0</v>
      </c>
      <c r="S11" s="74">
        <v>0</v>
      </c>
      <c r="T11" s="75">
        <v>0</v>
      </c>
      <c r="U11" s="12"/>
    </row>
    <row r="12" spans="1:21" ht="31.5" hidden="1" customHeight="1" x14ac:dyDescent="0.2">
      <c r="A12" s="15"/>
      <c r="B12" s="19"/>
      <c r="C12" s="35"/>
      <c r="D12" s="36"/>
      <c r="E12" s="35"/>
      <c r="F12" s="17"/>
      <c r="G12" s="30" t="s">
        <v>29</v>
      </c>
      <c r="H12" s="68"/>
      <c r="I12" s="76"/>
      <c r="J12" s="77"/>
      <c r="K12" s="78"/>
      <c r="L12" s="70">
        <f t="shared" si="0"/>
        <v>0</v>
      </c>
      <c r="M12" s="69">
        <f t="shared" ca="1" si="1"/>
        <v>4235</v>
      </c>
      <c r="N12" s="79"/>
      <c r="O12" s="79"/>
      <c r="P12" s="71">
        <f t="shared" ca="1" si="2"/>
        <v>0</v>
      </c>
      <c r="Q12" s="72">
        <f t="shared" ca="1" si="3"/>
        <v>0</v>
      </c>
      <c r="R12" s="73">
        <f t="shared" ca="1" si="4"/>
        <v>4235</v>
      </c>
      <c r="S12" s="74">
        <v>0</v>
      </c>
      <c r="T12" s="75">
        <v>0</v>
      </c>
      <c r="U12" s="12"/>
    </row>
    <row r="13" spans="1:21" ht="35.25" hidden="1" customHeight="1" x14ac:dyDescent="0.2">
      <c r="A13" s="15"/>
      <c r="B13" s="19"/>
      <c r="C13" s="35"/>
      <c r="D13" s="36"/>
      <c r="E13" s="35"/>
      <c r="F13" s="17"/>
      <c r="G13" s="30" t="s">
        <v>29</v>
      </c>
      <c r="H13" s="68"/>
      <c r="I13" s="76"/>
      <c r="J13" s="77"/>
      <c r="K13" s="78"/>
      <c r="L13" s="70">
        <f t="shared" si="0"/>
        <v>0</v>
      </c>
      <c r="M13" s="69">
        <f t="shared" ca="1" si="1"/>
        <v>0</v>
      </c>
      <c r="N13" s="79"/>
      <c r="O13" s="79"/>
      <c r="P13" s="71">
        <f t="shared" ca="1" si="2"/>
        <v>0</v>
      </c>
      <c r="Q13" s="72">
        <f t="shared" ca="1" si="3"/>
        <v>0</v>
      </c>
      <c r="R13" s="73">
        <f t="shared" ca="1" si="4"/>
        <v>0</v>
      </c>
      <c r="S13" s="74">
        <v>0</v>
      </c>
      <c r="T13" s="75">
        <v>0</v>
      </c>
      <c r="U13" s="12"/>
    </row>
    <row r="14" spans="1:21" ht="35.25" hidden="1" customHeight="1" x14ac:dyDescent="0.2">
      <c r="A14" s="15"/>
      <c r="B14" s="19"/>
      <c r="C14" s="35"/>
      <c r="D14" s="36"/>
      <c r="E14" s="35"/>
      <c r="F14" s="17"/>
      <c r="G14" s="30" t="s">
        <v>29</v>
      </c>
      <c r="H14" s="68"/>
      <c r="I14" s="76"/>
      <c r="J14" s="77"/>
      <c r="K14" s="78"/>
      <c r="L14" s="70">
        <f t="shared" si="0"/>
        <v>0</v>
      </c>
      <c r="M14" s="69">
        <f t="shared" ca="1" si="1"/>
        <v>0</v>
      </c>
      <c r="N14" s="79"/>
      <c r="O14" s="79"/>
      <c r="P14" s="71">
        <f t="shared" ca="1" si="2"/>
        <v>0</v>
      </c>
      <c r="Q14" s="72">
        <f t="shared" ca="1" si="3"/>
        <v>0</v>
      </c>
      <c r="R14" s="73">
        <f t="shared" ca="1" si="4"/>
        <v>0</v>
      </c>
      <c r="S14" s="74">
        <v>0</v>
      </c>
      <c r="T14" s="75">
        <v>0</v>
      </c>
      <c r="U14" s="12"/>
    </row>
    <row r="15" spans="1:21" ht="31.5" customHeight="1" x14ac:dyDescent="0.2">
      <c r="A15" s="15">
        <v>2</v>
      </c>
      <c r="B15" s="138" t="s">
        <v>136</v>
      </c>
      <c r="C15" s="139"/>
      <c r="D15" s="139"/>
      <c r="E15" s="140"/>
      <c r="F15" s="17" t="s">
        <v>25</v>
      </c>
      <c r="G15" s="30" t="s">
        <v>29</v>
      </c>
      <c r="H15" s="80">
        <v>0</v>
      </c>
      <c r="I15" s="81">
        <v>0</v>
      </c>
      <c r="J15" s="82">
        <v>0</v>
      </c>
      <c r="K15" s="82">
        <v>0</v>
      </c>
      <c r="L15" s="70">
        <f t="shared" si="0"/>
        <v>0</v>
      </c>
      <c r="M15" s="81">
        <v>0</v>
      </c>
      <c r="N15" s="81">
        <v>0</v>
      </c>
      <c r="O15" s="81">
        <v>0</v>
      </c>
      <c r="P15" s="71">
        <f t="shared" si="2"/>
        <v>0</v>
      </c>
      <c r="Q15" s="72">
        <f t="shared" si="3"/>
        <v>0</v>
      </c>
      <c r="R15" s="73">
        <f t="shared" si="4"/>
        <v>0</v>
      </c>
      <c r="S15" s="74">
        <v>0</v>
      </c>
      <c r="T15" s="75">
        <v>0</v>
      </c>
      <c r="U15" s="12"/>
    </row>
    <row r="16" spans="1:21" ht="31.5" customHeight="1" x14ac:dyDescent="0.2">
      <c r="A16" s="15">
        <v>3</v>
      </c>
      <c r="B16" s="169" t="s">
        <v>26</v>
      </c>
      <c r="C16" s="175"/>
      <c r="D16" s="175"/>
      <c r="E16" s="170"/>
      <c r="F16" s="17" t="s">
        <v>25</v>
      </c>
      <c r="G16" s="30" t="s">
        <v>29</v>
      </c>
      <c r="H16" s="68">
        <v>1555</v>
      </c>
      <c r="I16" s="69">
        <f>$H41</f>
        <v>4001</v>
      </c>
      <c r="J16" s="69">
        <f>$H48</f>
        <v>0</v>
      </c>
      <c r="K16" s="69">
        <f>$H51</f>
        <v>235</v>
      </c>
      <c r="L16" s="70">
        <f t="shared" si="0"/>
        <v>4236</v>
      </c>
      <c r="M16" s="69">
        <f>$H53</f>
        <v>3339</v>
      </c>
      <c r="N16" s="69">
        <f>$H56</f>
        <v>0</v>
      </c>
      <c r="O16" s="69">
        <f>$H59</f>
        <v>0</v>
      </c>
      <c r="P16" s="71">
        <f t="shared" si="2"/>
        <v>3339</v>
      </c>
      <c r="Q16" s="72">
        <f t="shared" si="3"/>
        <v>2452</v>
      </c>
      <c r="R16" s="73">
        <f t="shared" si="4"/>
        <v>3339</v>
      </c>
      <c r="S16" s="74">
        <v>0</v>
      </c>
      <c r="T16" s="75">
        <v>0</v>
      </c>
      <c r="U16" s="12"/>
    </row>
    <row r="17" spans="1:21" ht="31.5" customHeight="1" x14ac:dyDescent="0.2">
      <c r="A17" s="15">
        <v>4</v>
      </c>
      <c r="B17" s="169" t="s">
        <v>27</v>
      </c>
      <c r="C17" s="175"/>
      <c r="D17" s="175"/>
      <c r="E17" s="170"/>
      <c r="F17" s="17" t="s">
        <v>25</v>
      </c>
      <c r="G17" s="30" t="s">
        <v>29</v>
      </c>
      <c r="H17" s="68">
        <v>141</v>
      </c>
      <c r="I17" s="69">
        <f>$I41</f>
        <v>399</v>
      </c>
      <c r="J17" s="69">
        <f>$I48</f>
        <v>0</v>
      </c>
      <c r="K17" s="69">
        <f>$I51</f>
        <v>0</v>
      </c>
      <c r="L17" s="70">
        <f t="shared" si="0"/>
        <v>399</v>
      </c>
      <c r="M17" s="69">
        <f>$I53</f>
        <v>381</v>
      </c>
      <c r="N17" s="69">
        <f>$I56</f>
        <v>0</v>
      </c>
      <c r="O17" s="69">
        <f>$I59</f>
        <v>0</v>
      </c>
      <c r="P17" s="71">
        <f t="shared" si="2"/>
        <v>381</v>
      </c>
      <c r="Q17" s="72">
        <f t="shared" si="3"/>
        <v>159</v>
      </c>
      <c r="R17" s="73">
        <f t="shared" si="4"/>
        <v>381</v>
      </c>
      <c r="S17" s="74">
        <v>0</v>
      </c>
      <c r="T17" s="75">
        <v>0</v>
      </c>
      <c r="U17" s="12"/>
    </row>
    <row r="18" spans="1:21" ht="32.25" customHeight="1" x14ac:dyDescent="0.25">
      <c r="A18" s="15">
        <v>5</v>
      </c>
      <c r="B18" s="169" t="s">
        <v>28</v>
      </c>
      <c r="C18" s="175"/>
      <c r="D18" s="175"/>
      <c r="E18" s="170"/>
      <c r="F18" s="17" t="s">
        <v>25</v>
      </c>
      <c r="G18" s="30" t="s">
        <v>29</v>
      </c>
      <c r="H18" s="51">
        <v>0</v>
      </c>
      <c r="I18" s="52">
        <f>$J41</f>
        <v>13.5</v>
      </c>
      <c r="J18" s="52">
        <f>$J48</f>
        <v>0</v>
      </c>
      <c r="K18" s="52">
        <f>$J51</f>
        <v>0</v>
      </c>
      <c r="L18" s="53">
        <f t="shared" si="0"/>
        <v>13.5</v>
      </c>
      <c r="M18" s="52">
        <f>$J53</f>
        <v>7.5</v>
      </c>
      <c r="N18" s="52">
        <f>$J56</f>
        <v>0</v>
      </c>
      <c r="O18" s="52">
        <f>$J59</f>
        <v>0</v>
      </c>
      <c r="P18" s="54">
        <f t="shared" si="2"/>
        <v>7.5</v>
      </c>
      <c r="Q18" s="55">
        <f t="shared" si="3"/>
        <v>6</v>
      </c>
      <c r="R18" s="56">
        <f t="shared" si="4"/>
        <v>7.5</v>
      </c>
      <c r="S18" s="74">
        <v>0</v>
      </c>
      <c r="T18" s="75">
        <v>0</v>
      </c>
      <c r="U18" s="11"/>
    </row>
    <row r="19" spans="1:21" ht="30.75" customHeight="1" x14ac:dyDescent="0.2">
      <c r="A19" s="15">
        <v>6</v>
      </c>
      <c r="B19" s="138" t="s">
        <v>137</v>
      </c>
      <c r="C19" s="139"/>
      <c r="D19" s="139"/>
      <c r="E19" s="140"/>
      <c r="F19" s="17" t="s">
        <v>25</v>
      </c>
      <c r="G19" s="30" t="s">
        <v>29</v>
      </c>
      <c r="H19" s="51">
        <v>0</v>
      </c>
      <c r="I19" s="59">
        <f>$L41</f>
        <v>8</v>
      </c>
      <c r="J19" s="59">
        <f>$L48</f>
        <v>0</v>
      </c>
      <c r="K19" s="59">
        <f>$L51</f>
        <v>0</v>
      </c>
      <c r="L19" s="53">
        <f t="shared" si="0"/>
        <v>8</v>
      </c>
      <c r="M19" s="59">
        <f>$L53</f>
        <v>0</v>
      </c>
      <c r="N19" s="59">
        <f>$L56</f>
        <v>0</v>
      </c>
      <c r="O19" s="59">
        <f>$L59</f>
        <v>8</v>
      </c>
      <c r="P19" s="54">
        <f t="shared" si="2"/>
        <v>8</v>
      </c>
      <c r="Q19" s="55">
        <f t="shared" si="3"/>
        <v>0</v>
      </c>
      <c r="R19" s="56">
        <f t="shared" si="4"/>
        <v>0</v>
      </c>
      <c r="S19" s="74">
        <v>0</v>
      </c>
      <c r="T19" s="75">
        <v>0</v>
      </c>
      <c r="U19" s="12"/>
    </row>
    <row r="20" spans="1:21" ht="36" customHeight="1" x14ac:dyDescent="0.2">
      <c r="A20" s="15">
        <v>7</v>
      </c>
      <c r="B20" s="138" t="s">
        <v>138</v>
      </c>
      <c r="C20" s="139"/>
      <c r="D20" s="139"/>
      <c r="E20" s="140"/>
      <c r="F20" s="17" t="s">
        <v>25</v>
      </c>
      <c r="G20" s="30" t="s">
        <v>29</v>
      </c>
      <c r="H20" s="51">
        <v>0</v>
      </c>
      <c r="I20" s="59">
        <f>$Q41</f>
        <v>0</v>
      </c>
      <c r="J20" s="59">
        <f>$Q48</f>
        <v>0</v>
      </c>
      <c r="K20" s="59">
        <f>$Q51</f>
        <v>0</v>
      </c>
      <c r="L20" s="53">
        <f t="shared" si="0"/>
        <v>0</v>
      </c>
      <c r="M20" s="59">
        <f>$Q53</f>
        <v>0</v>
      </c>
      <c r="N20" s="59">
        <f>$Q56</f>
        <v>0</v>
      </c>
      <c r="O20" s="59">
        <f>$Q59</f>
        <v>0</v>
      </c>
      <c r="P20" s="54">
        <f t="shared" si="2"/>
        <v>0</v>
      </c>
      <c r="Q20" s="55">
        <f t="shared" si="3"/>
        <v>0</v>
      </c>
      <c r="R20" s="56">
        <f t="shared" si="4"/>
        <v>0</v>
      </c>
      <c r="S20" s="74">
        <v>0</v>
      </c>
      <c r="T20" s="75">
        <v>0</v>
      </c>
      <c r="U20" s="12"/>
    </row>
    <row r="21" spans="1:21" ht="32.25" customHeight="1" x14ac:dyDescent="0.2">
      <c r="A21" s="15">
        <v>8</v>
      </c>
      <c r="B21" s="138" t="s">
        <v>139</v>
      </c>
      <c r="C21" s="192"/>
      <c r="D21" s="192"/>
      <c r="E21" s="193"/>
      <c r="F21" s="17" t="s">
        <v>25</v>
      </c>
      <c r="G21" s="30" t="s">
        <v>29</v>
      </c>
      <c r="H21" s="51">
        <v>0</v>
      </c>
      <c r="I21" s="59">
        <f>$S41</f>
        <v>0</v>
      </c>
      <c r="J21" s="59">
        <f>$S48</f>
        <v>0</v>
      </c>
      <c r="K21" s="59">
        <f>$S51</f>
        <v>0</v>
      </c>
      <c r="L21" s="53">
        <f t="shared" si="0"/>
        <v>0</v>
      </c>
      <c r="M21" s="59">
        <f>$S53</f>
        <v>0</v>
      </c>
      <c r="N21" s="59">
        <f>$S56</f>
        <v>0</v>
      </c>
      <c r="O21" s="59">
        <f>$S59</f>
        <v>0</v>
      </c>
      <c r="P21" s="54">
        <f t="shared" si="2"/>
        <v>0</v>
      </c>
      <c r="Q21" s="55">
        <f t="shared" si="3"/>
        <v>0</v>
      </c>
      <c r="R21" s="56">
        <f t="shared" si="4"/>
        <v>0</v>
      </c>
      <c r="S21" s="74">
        <v>0</v>
      </c>
      <c r="T21" s="75">
        <v>0</v>
      </c>
      <c r="U21" s="12"/>
    </row>
    <row r="22" spans="1:21" ht="31.5" customHeight="1" x14ac:dyDescent="0.2">
      <c r="A22" s="15">
        <v>9</v>
      </c>
      <c r="B22" s="138" t="s">
        <v>140</v>
      </c>
      <c r="C22" s="139"/>
      <c r="D22" s="139"/>
      <c r="E22" s="140"/>
      <c r="F22" s="17" t="s">
        <v>25</v>
      </c>
      <c r="G22" s="30" t="s">
        <v>29</v>
      </c>
      <c r="H22" s="51">
        <v>0</v>
      </c>
      <c r="I22" s="60">
        <f>$N41</f>
        <v>11.6</v>
      </c>
      <c r="J22" s="60">
        <f>$N48</f>
        <v>0</v>
      </c>
      <c r="K22" s="60">
        <f>$N51</f>
        <v>0</v>
      </c>
      <c r="L22" s="53">
        <f t="shared" si="0"/>
        <v>11.6</v>
      </c>
      <c r="M22" s="60">
        <f>$N53</f>
        <v>0</v>
      </c>
      <c r="N22" s="60">
        <f>$N56</f>
        <v>0</v>
      </c>
      <c r="O22" s="60">
        <f>$N59</f>
        <v>11.6</v>
      </c>
      <c r="P22" s="54">
        <f t="shared" si="2"/>
        <v>11.6</v>
      </c>
      <c r="Q22" s="55">
        <f t="shared" si="3"/>
        <v>0</v>
      </c>
      <c r="R22" s="56">
        <f>M22+S22+O22</f>
        <v>11.6</v>
      </c>
      <c r="S22" s="74">
        <v>0</v>
      </c>
      <c r="T22" s="75">
        <v>0</v>
      </c>
      <c r="U22" s="12"/>
    </row>
    <row r="23" spans="1:21" ht="31.5" customHeight="1" x14ac:dyDescent="0.2">
      <c r="A23" s="15">
        <v>10</v>
      </c>
      <c r="B23" s="138" t="s">
        <v>157</v>
      </c>
      <c r="C23" s="139"/>
      <c r="D23" s="139"/>
      <c r="E23" s="140"/>
      <c r="F23" s="17" t="s">
        <v>25</v>
      </c>
      <c r="G23" s="30" t="s">
        <v>29</v>
      </c>
      <c r="H23" s="51">
        <v>0</v>
      </c>
      <c r="I23" s="60">
        <f>$M41</f>
        <v>4.4000000000000004</v>
      </c>
      <c r="J23" s="60">
        <f>$M48</f>
        <v>0</v>
      </c>
      <c r="K23" s="60">
        <f>$M51</f>
        <v>0</v>
      </c>
      <c r="L23" s="53">
        <f t="shared" si="0"/>
        <v>4.4000000000000004</v>
      </c>
      <c r="M23" s="60">
        <f>$M53</f>
        <v>4.4000000000000004</v>
      </c>
      <c r="N23" s="60">
        <f>$M56</f>
        <v>0</v>
      </c>
      <c r="O23" s="60">
        <f>$M59</f>
        <v>0</v>
      </c>
      <c r="P23" s="54">
        <f t="shared" si="2"/>
        <v>4.4000000000000004</v>
      </c>
      <c r="Q23" s="55">
        <f t="shared" si="3"/>
        <v>0</v>
      </c>
      <c r="R23" s="56">
        <f t="shared" ref="R23:R24" si="5">M23+S23+O23</f>
        <v>4.4000000000000004</v>
      </c>
      <c r="S23" s="74">
        <v>0</v>
      </c>
      <c r="T23" s="75">
        <v>0</v>
      </c>
      <c r="U23" s="12"/>
    </row>
    <row r="24" spans="1:21" ht="30.75" customHeight="1" x14ac:dyDescent="0.25">
      <c r="A24" s="15">
        <v>11</v>
      </c>
      <c r="B24" s="138" t="s">
        <v>141</v>
      </c>
      <c r="C24" s="139"/>
      <c r="D24" s="139"/>
      <c r="E24" s="140"/>
      <c r="F24" s="17" t="s">
        <v>25</v>
      </c>
      <c r="G24" s="30" t="s">
        <v>29</v>
      </c>
      <c r="H24" s="51">
        <v>6</v>
      </c>
      <c r="I24" s="52">
        <f>$O41</f>
        <v>28</v>
      </c>
      <c r="J24" s="52">
        <f>$O48</f>
        <v>0</v>
      </c>
      <c r="K24" s="52">
        <f>$O51</f>
        <v>0</v>
      </c>
      <c r="L24" s="53">
        <f t="shared" si="0"/>
        <v>28</v>
      </c>
      <c r="M24" s="52">
        <f>$O53</f>
        <v>11</v>
      </c>
      <c r="N24" s="52">
        <f>$O56</f>
        <v>0</v>
      </c>
      <c r="O24" s="52">
        <f>$O59</f>
        <v>23</v>
      </c>
      <c r="P24" s="54">
        <f t="shared" si="2"/>
        <v>34</v>
      </c>
      <c r="Q24" s="55">
        <f t="shared" si="3"/>
        <v>0</v>
      </c>
      <c r="R24" s="56">
        <f t="shared" si="5"/>
        <v>34</v>
      </c>
      <c r="S24" s="74">
        <v>0</v>
      </c>
      <c r="T24" s="75">
        <v>0</v>
      </c>
      <c r="U24" s="11"/>
    </row>
    <row r="25" spans="1:21" ht="33.75" customHeight="1" x14ac:dyDescent="0.2">
      <c r="A25" s="15">
        <v>12</v>
      </c>
      <c r="B25" s="138" t="s">
        <v>142</v>
      </c>
      <c r="C25" s="192"/>
      <c r="D25" s="192"/>
      <c r="E25" s="193"/>
      <c r="F25" s="17" t="s">
        <v>25</v>
      </c>
      <c r="G25" s="30" t="s">
        <v>29</v>
      </c>
      <c r="H25" s="51">
        <v>0</v>
      </c>
      <c r="I25" s="59">
        <f>$P41</f>
        <v>0</v>
      </c>
      <c r="J25" s="59">
        <f>$P48</f>
        <v>0</v>
      </c>
      <c r="K25" s="59">
        <f>$P51</f>
        <v>0</v>
      </c>
      <c r="L25" s="53">
        <f t="shared" si="0"/>
        <v>0</v>
      </c>
      <c r="M25" s="59">
        <f>$P53</f>
        <v>0</v>
      </c>
      <c r="N25" s="59">
        <f>$P56</f>
        <v>0</v>
      </c>
      <c r="O25" s="59">
        <f>$P59</f>
        <v>0</v>
      </c>
      <c r="P25" s="54">
        <f t="shared" si="2"/>
        <v>0</v>
      </c>
      <c r="Q25" s="55">
        <f t="shared" si="3"/>
        <v>0</v>
      </c>
      <c r="R25" s="56">
        <f t="shared" si="4"/>
        <v>0</v>
      </c>
      <c r="S25" s="74">
        <v>0</v>
      </c>
      <c r="T25" s="75">
        <v>0</v>
      </c>
      <c r="U25" s="6"/>
    </row>
    <row r="26" spans="1:21" ht="28.5" customHeight="1" x14ac:dyDescent="0.25">
      <c r="A26" s="15">
        <v>13</v>
      </c>
      <c r="B26" s="138" t="s">
        <v>143</v>
      </c>
      <c r="C26" s="139"/>
      <c r="D26" s="139"/>
      <c r="E26" s="140"/>
      <c r="F26" s="17" t="s">
        <v>25</v>
      </c>
      <c r="G26" s="30" t="s">
        <v>29</v>
      </c>
      <c r="H26" s="51">
        <v>0</v>
      </c>
      <c r="I26" s="59">
        <f>$R41</f>
        <v>0</v>
      </c>
      <c r="J26" s="59">
        <f>$R48</f>
        <v>0</v>
      </c>
      <c r="K26" s="59">
        <f>$R51</f>
        <v>0</v>
      </c>
      <c r="L26" s="53">
        <f t="shared" si="0"/>
        <v>0</v>
      </c>
      <c r="M26" s="59">
        <f>$R53</f>
        <v>0</v>
      </c>
      <c r="N26" s="59">
        <f>$R56</f>
        <v>0</v>
      </c>
      <c r="O26" s="59">
        <f>$R59</f>
        <v>0</v>
      </c>
      <c r="P26" s="54">
        <f t="shared" si="2"/>
        <v>0</v>
      </c>
      <c r="Q26" s="55">
        <f t="shared" si="3"/>
        <v>0</v>
      </c>
      <c r="R26" s="56">
        <f t="shared" si="4"/>
        <v>0</v>
      </c>
      <c r="S26" s="74">
        <v>0</v>
      </c>
      <c r="T26" s="75">
        <v>0</v>
      </c>
      <c r="U26" s="11"/>
    </row>
    <row r="27" spans="1:21" ht="25.5" customHeight="1" x14ac:dyDescent="0.25">
      <c r="A27" s="15">
        <v>14</v>
      </c>
      <c r="B27" s="169" t="s">
        <v>30</v>
      </c>
      <c r="C27" s="175"/>
      <c r="D27" s="175"/>
      <c r="E27" s="170"/>
      <c r="F27" s="28" t="s">
        <v>25</v>
      </c>
      <c r="G27" s="30" t="s">
        <v>29</v>
      </c>
      <c r="H27" s="51">
        <v>0</v>
      </c>
      <c r="I27" s="61">
        <v>0</v>
      </c>
      <c r="J27" s="57">
        <v>0</v>
      </c>
      <c r="K27" s="57">
        <v>0</v>
      </c>
      <c r="L27" s="62">
        <f>SUM(I27:K27)</f>
        <v>0</v>
      </c>
      <c r="M27" s="61">
        <v>0</v>
      </c>
      <c r="N27" s="61">
        <v>0</v>
      </c>
      <c r="O27" s="61">
        <v>0</v>
      </c>
      <c r="P27" s="64">
        <f>SUM(M27:O27)</f>
        <v>0</v>
      </c>
      <c r="Q27" s="65">
        <f>H27+L27-P27</f>
        <v>0</v>
      </c>
      <c r="R27" s="56">
        <f>M27+S27</f>
        <v>0</v>
      </c>
      <c r="S27" s="74">
        <v>0</v>
      </c>
      <c r="T27" s="75">
        <v>0</v>
      </c>
      <c r="U27" s="11"/>
    </row>
    <row r="28" spans="1:21" ht="25.5" customHeight="1" x14ac:dyDescent="0.25">
      <c r="A28" s="15">
        <v>15</v>
      </c>
      <c r="B28" s="169" t="s">
        <v>31</v>
      </c>
      <c r="C28" s="175"/>
      <c r="D28" s="175"/>
      <c r="E28" s="170"/>
      <c r="F28" s="28" t="s">
        <v>25</v>
      </c>
      <c r="G28" s="30" t="s">
        <v>29</v>
      </c>
      <c r="H28" s="51">
        <v>475.2</v>
      </c>
      <c r="I28" s="61">
        <v>0</v>
      </c>
      <c r="J28" s="57">
        <v>0</v>
      </c>
      <c r="K28" s="57">
        <v>0</v>
      </c>
      <c r="L28" s="62">
        <f t="shared" ref="L28:L31" si="6">SUM(I28:K28)</f>
        <v>0</v>
      </c>
      <c r="M28" s="61">
        <v>7.9</v>
      </c>
      <c r="N28" s="61">
        <v>0</v>
      </c>
      <c r="O28" s="61">
        <v>0</v>
      </c>
      <c r="P28" s="64">
        <f t="shared" ref="P28:P32" si="7">SUM(M28:O28)</f>
        <v>7.9</v>
      </c>
      <c r="Q28" s="65">
        <f t="shared" ref="Q28:Q31" si="8">H28+L28-P28</f>
        <v>467.3</v>
      </c>
      <c r="R28" s="56">
        <f t="shared" ref="R28:R32" si="9">M28+S28</f>
        <v>7.9</v>
      </c>
      <c r="S28" s="74">
        <v>0</v>
      </c>
      <c r="T28" s="75">
        <v>0</v>
      </c>
      <c r="U28" s="11"/>
    </row>
    <row r="29" spans="1:21" ht="25.5" customHeight="1" x14ac:dyDescent="0.25">
      <c r="A29" s="15">
        <v>16</v>
      </c>
      <c r="B29" s="169" t="s">
        <v>32</v>
      </c>
      <c r="C29" s="175"/>
      <c r="D29" s="175"/>
      <c r="E29" s="170"/>
      <c r="F29" s="28" t="s">
        <v>25</v>
      </c>
      <c r="G29" s="30" t="s">
        <v>29</v>
      </c>
      <c r="H29" s="51">
        <v>127.8</v>
      </c>
      <c r="I29" s="61">
        <v>0</v>
      </c>
      <c r="J29" s="57">
        <v>0</v>
      </c>
      <c r="K29" s="57">
        <v>0</v>
      </c>
      <c r="L29" s="62">
        <f t="shared" si="6"/>
        <v>0</v>
      </c>
      <c r="M29" s="61">
        <v>3.1</v>
      </c>
      <c r="N29" s="61">
        <v>0</v>
      </c>
      <c r="O29" s="61">
        <v>0</v>
      </c>
      <c r="P29" s="64">
        <f t="shared" si="7"/>
        <v>3.1</v>
      </c>
      <c r="Q29" s="65">
        <f t="shared" si="8"/>
        <v>124.7</v>
      </c>
      <c r="R29" s="56">
        <f t="shared" si="9"/>
        <v>3.1</v>
      </c>
      <c r="S29" s="74">
        <v>0</v>
      </c>
      <c r="T29" s="75">
        <v>0</v>
      </c>
      <c r="U29" s="11"/>
    </row>
    <row r="30" spans="1:21" ht="25.5" customHeight="1" x14ac:dyDescent="0.2">
      <c r="A30" s="15">
        <v>17</v>
      </c>
      <c r="B30" s="169" t="s">
        <v>33</v>
      </c>
      <c r="C30" s="175"/>
      <c r="D30" s="175"/>
      <c r="E30" s="170"/>
      <c r="F30" s="28" t="s">
        <v>25</v>
      </c>
      <c r="G30" s="30" t="s">
        <v>29</v>
      </c>
      <c r="H30" s="51">
        <v>61</v>
      </c>
      <c r="I30" s="61">
        <v>0</v>
      </c>
      <c r="J30" s="57">
        <v>0</v>
      </c>
      <c r="K30" s="57">
        <v>0</v>
      </c>
      <c r="L30" s="62">
        <f t="shared" si="6"/>
        <v>0</v>
      </c>
      <c r="M30" s="61">
        <v>1.5</v>
      </c>
      <c r="N30" s="61">
        <v>0</v>
      </c>
      <c r="O30" s="61">
        <v>0</v>
      </c>
      <c r="P30" s="64">
        <f t="shared" si="7"/>
        <v>1.5</v>
      </c>
      <c r="Q30" s="65">
        <f t="shared" si="8"/>
        <v>59.5</v>
      </c>
      <c r="R30" s="56">
        <f t="shared" si="9"/>
        <v>1.5</v>
      </c>
      <c r="S30" s="74">
        <v>0</v>
      </c>
      <c r="T30" s="75">
        <v>0</v>
      </c>
      <c r="U30" s="21"/>
    </row>
    <row r="31" spans="1:21" ht="25.5" customHeight="1" x14ac:dyDescent="0.2">
      <c r="A31" s="15">
        <v>18</v>
      </c>
      <c r="B31" s="169" t="s">
        <v>34</v>
      </c>
      <c r="C31" s="175"/>
      <c r="D31" s="175"/>
      <c r="E31" s="170"/>
      <c r="F31" s="28" t="s">
        <v>25</v>
      </c>
      <c r="G31" s="30" t="s">
        <v>29</v>
      </c>
      <c r="H31" s="51">
        <v>6.5</v>
      </c>
      <c r="I31" s="61">
        <v>10</v>
      </c>
      <c r="J31" s="57">
        <v>0</v>
      </c>
      <c r="K31" s="57">
        <v>0</v>
      </c>
      <c r="L31" s="62">
        <f t="shared" si="6"/>
        <v>10</v>
      </c>
      <c r="M31" s="66">
        <v>5.6</v>
      </c>
      <c r="N31" s="61">
        <v>0</v>
      </c>
      <c r="O31" s="61">
        <v>0</v>
      </c>
      <c r="P31" s="64">
        <f t="shared" si="7"/>
        <v>5.6</v>
      </c>
      <c r="Q31" s="65">
        <f t="shared" si="8"/>
        <v>10.9</v>
      </c>
      <c r="R31" s="56">
        <f t="shared" si="9"/>
        <v>5.6</v>
      </c>
      <c r="S31" s="74">
        <v>0</v>
      </c>
      <c r="T31" s="75">
        <v>0</v>
      </c>
    </row>
    <row r="32" spans="1:21" ht="25.5" customHeight="1" x14ac:dyDescent="0.2">
      <c r="A32" s="15">
        <v>19</v>
      </c>
      <c r="B32" s="169" t="s">
        <v>35</v>
      </c>
      <c r="C32" s="175"/>
      <c r="D32" s="175"/>
      <c r="E32" s="170"/>
      <c r="F32" s="28" t="s">
        <v>36</v>
      </c>
      <c r="G32" s="30" t="s">
        <v>29</v>
      </c>
      <c r="H32" s="51">
        <v>1</v>
      </c>
      <c r="I32" s="63">
        <v>0</v>
      </c>
      <c r="J32" s="67">
        <v>0</v>
      </c>
      <c r="K32" s="67">
        <v>0</v>
      </c>
      <c r="L32" s="62">
        <f>SUM(I32:K32)</f>
        <v>0</v>
      </c>
      <c r="M32" s="66">
        <v>0</v>
      </c>
      <c r="N32" s="63">
        <v>0</v>
      </c>
      <c r="O32" s="63">
        <v>0</v>
      </c>
      <c r="P32" s="64">
        <f t="shared" si="7"/>
        <v>0</v>
      </c>
      <c r="Q32" s="65">
        <v>1</v>
      </c>
      <c r="R32" s="56">
        <f t="shared" si="9"/>
        <v>0</v>
      </c>
      <c r="S32" s="74">
        <v>0</v>
      </c>
      <c r="T32" s="75">
        <v>0</v>
      </c>
    </row>
    <row r="33" spans="1:20" ht="63.75" customHeight="1" x14ac:dyDescent="0.2">
      <c r="A33" s="177" t="s">
        <v>37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</row>
    <row r="34" spans="1:20" ht="24" customHeight="1" x14ac:dyDescent="0.2">
      <c r="A34" s="178" t="s">
        <v>38</v>
      </c>
      <c r="B34" s="180" t="s">
        <v>39</v>
      </c>
      <c r="C34" s="181"/>
      <c r="D34" s="184" t="s">
        <v>40</v>
      </c>
      <c r="E34" s="180" t="s">
        <v>41</v>
      </c>
      <c r="F34" s="181"/>
      <c r="G34" s="176" t="s">
        <v>149</v>
      </c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37"/>
    </row>
    <row r="35" spans="1:20" ht="115.5" customHeight="1" x14ac:dyDescent="0.2">
      <c r="A35" s="179"/>
      <c r="B35" s="182"/>
      <c r="C35" s="183"/>
      <c r="D35" s="185"/>
      <c r="E35" s="182"/>
      <c r="F35" s="183"/>
      <c r="G35" s="5" t="s">
        <v>42</v>
      </c>
      <c r="H35" s="5" t="s">
        <v>43</v>
      </c>
      <c r="I35" s="8" t="s">
        <v>44</v>
      </c>
      <c r="J35" s="5" t="s">
        <v>45</v>
      </c>
      <c r="K35" s="8" t="s">
        <v>46</v>
      </c>
      <c r="L35" s="8" t="s">
        <v>47</v>
      </c>
      <c r="M35" s="5" t="s">
        <v>48</v>
      </c>
      <c r="N35" s="8" t="s">
        <v>49</v>
      </c>
      <c r="O35" s="5" t="s">
        <v>50</v>
      </c>
      <c r="P35" s="106" t="s">
        <v>158</v>
      </c>
      <c r="Q35" s="5" t="s">
        <v>52</v>
      </c>
      <c r="R35" s="5" t="s">
        <v>53</v>
      </c>
      <c r="S35" s="8" t="s">
        <v>0</v>
      </c>
      <c r="T35" s="5" t="s">
        <v>54</v>
      </c>
    </row>
    <row r="36" spans="1:20" ht="32.25" customHeight="1" x14ac:dyDescent="0.2">
      <c r="A36" s="22">
        <v>6</v>
      </c>
      <c r="B36" s="169" t="s">
        <v>55</v>
      </c>
      <c r="C36" s="170"/>
      <c r="D36" s="2" t="s">
        <v>56</v>
      </c>
      <c r="E36" s="136" t="s">
        <v>57</v>
      </c>
      <c r="F36" s="137"/>
      <c r="G36" s="84">
        <v>4160</v>
      </c>
      <c r="H36" s="84">
        <v>4001</v>
      </c>
      <c r="I36" s="83">
        <v>399</v>
      </c>
      <c r="J36" s="67">
        <v>7.5</v>
      </c>
      <c r="K36" s="58">
        <v>0</v>
      </c>
      <c r="L36" s="58">
        <v>0</v>
      </c>
      <c r="M36" s="57">
        <v>4.4000000000000004</v>
      </c>
      <c r="N36" s="63">
        <v>0</v>
      </c>
      <c r="O36" s="67">
        <v>11</v>
      </c>
      <c r="P36" s="63">
        <v>0</v>
      </c>
      <c r="Q36" s="57">
        <v>0</v>
      </c>
      <c r="R36" s="57">
        <v>0</v>
      </c>
      <c r="S36" s="58">
        <v>0</v>
      </c>
      <c r="T36" s="57">
        <v>0</v>
      </c>
    </row>
    <row r="37" spans="1:20" ht="15.75" customHeight="1" x14ac:dyDescent="0.2">
      <c r="A37" s="23"/>
      <c r="B37" s="169" t="s">
        <v>55</v>
      </c>
      <c r="C37" s="170"/>
      <c r="D37" s="2" t="s">
        <v>58</v>
      </c>
      <c r="E37" s="136" t="s">
        <v>153</v>
      </c>
      <c r="F37" s="137"/>
      <c r="G37" s="63">
        <v>0</v>
      </c>
      <c r="H37" s="63">
        <v>0</v>
      </c>
      <c r="I37" s="63">
        <v>0</v>
      </c>
      <c r="J37" s="63">
        <v>6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57">
        <v>0</v>
      </c>
      <c r="R37" s="57">
        <v>0</v>
      </c>
      <c r="S37" s="58">
        <v>0</v>
      </c>
      <c r="T37" s="57">
        <v>0</v>
      </c>
    </row>
    <row r="38" spans="1:20" ht="15.75" customHeight="1" x14ac:dyDescent="0.2">
      <c r="A38" s="23"/>
      <c r="B38" s="37"/>
      <c r="C38" s="36"/>
      <c r="D38" s="2" t="s">
        <v>58</v>
      </c>
      <c r="E38" s="136" t="s">
        <v>155</v>
      </c>
      <c r="F38" s="137"/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11.6</v>
      </c>
      <c r="O38" s="63">
        <v>0</v>
      </c>
      <c r="P38" s="63">
        <v>0</v>
      </c>
      <c r="Q38" s="57">
        <v>0</v>
      </c>
      <c r="R38" s="57">
        <v>0</v>
      </c>
      <c r="S38" s="58">
        <v>0</v>
      </c>
      <c r="T38" s="57">
        <v>0</v>
      </c>
    </row>
    <row r="39" spans="1:20" ht="15.75" customHeight="1" x14ac:dyDescent="0.2">
      <c r="A39" s="23"/>
      <c r="B39" s="37"/>
      <c r="C39" s="36"/>
      <c r="D39" s="2" t="s">
        <v>58</v>
      </c>
      <c r="E39" s="136" t="s">
        <v>156</v>
      </c>
      <c r="F39" s="137"/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6</v>
      </c>
      <c r="P39" s="63">
        <v>0</v>
      </c>
      <c r="Q39" s="57">
        <v>0</v>
      </c>
      <c r="R39" s="57">
        <v>0</v>
      </c>
      <c r="S39" s="58">
        <v>0</v>
      </c>
      <c r="T39" s="57">
        <v>0</v>
      </c>
    </row>
    <row r="40" spans="1:20" ht="15.75" customHeight="1" x14ac:dyDescent="0.2">
      <c r="A40" s="24"/>
      <c r="B40" s="169" t="s">
        <v>55</v>
      </c>
      <c r="C40" s="170"/>
      <c r="D40" s="2" t="s">
        <v>58</v>
      </c>
      <c r="E40" s="136" t="s">
        <v>154</v>
      </c>
      <c r="F40" s="137"/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8</v>
      </c>
      <c r="M40" s="63">
        <v>0</v>
      </c>
      <c r="N40" s="63">
        <v>0</v>
      </c>
      <c r="O40" s="63">
        <v>11</v>
      </c>
      <c r="P40" s="63">
        <v>0</v>
      </c>
      <c r="Q40" s="57">
        <v>0</v>
      </c>
      <c r="R40" s="57">
        <v>0</v>
      </c>
      <c r="S40" s="58">
        <v>0</v>
      </c>
      <c r="T40" s="57">
        <v>0</v>
      </c>
    </row>
    <row r="41" spans="1:20" ht="21.75" customHeight="1" x14ac:dyDescent="0.2">
      <c r="A41" s="142" t="s">
        <v>59</v>
      </c>
      <c r="B41" s="143"/>
      <c r="C41" s="143"/>
      <c r="D41" s="143"/>
      <c r="E41" s="143"/>
      <c r="F41" s="144"/>
      <c r="G41" s="96">
        <f t="shared" ref="G41:T41" si="10">SUM(G36:G40)</f>
        <v>4160</v>
      </c>
      <c r="H41" s="96">
        <f t="shared" si="10"/>
        <v>4001</v>
      </c>
      <c r="I41" s="96">
        <f t="shared" si="10"/>
        <v>399</v>
      </c>
      <c r="J41" s="85">
        <f t="shared" si="10"/>
        <v>13.5</v>
      </c>
      <c r="K41" s="85">
        <f t="shared" si="10"/>
        <v>0</v>
      </c>
      <c r="L41" s="85">
        <f t="shared" si="10"/>
        <v>8</v>
      </c>
      <c r="M41" s="85">
        <f t="shared" si="10"/>
        <v>4.4000000000000004</v>
      </c>
      <c r="N41" s="85">
        <f t="shared" si="10"/>
        <v>11.6</v>
      </c>
      <c r="O41" s="85">
        <f t="shared" si="10"/>
        <v>28</v>
      </c>
      <c r="P41" s="85">
        <f t="shared" si="10"/>
        <v>0</v>
      </c>
      <c r="Q41" s="85">
        <f t="shared" si="10"/>
        <v>0</v>
      </c>
      <c r="R41" s="85">
        <f t="shared" si="10"/>
        <v>0</v>
      </c>
      <c r="S41" s="85">
        <f t="shared" si="10"/>
        <v>0</v>
      </c>
      <c r="T41" s="85">
        <f t="shared" si="10"/>
        <v>0</v>
      </c>
    </row>
    <row r="42" spans="1:20" ht="15.75" customHeight="1" x14ac:dyDescent="0.25">
      <c r="A42" s="22">
        <v>7</v>
      </c>
      <c r="B42" s="145" t="s">
        <v>60</v>
      </c>
      <c r="C42" s="146"/>
      <c r="D42" s="2" t="s">
        <v>58</v>
      </c>
      <c r="E42" s="141"/>
      <c r="F42" s="131"/>
      <c r="G42" s="97">
        <f>45</f>
        <v>45</v>
      </c>
      <c r="H42" s="98" t="s">
        <v>29</v>
      </c>
      <c r="I42" s="99" t="s">
        <v>29</v>
      </c>
      <c r="J42" s="87" t="s">
        <v>29</v>
      </c>
      <c r="K42" s="88" t="s">
        <v>29</v>
      </c>
      <c r="L42" s="88" t="s">
        <v>29</v>
      </c>
      <c r="M42" s="87" t="s">
        <v>29</v>
      </c>
      <c r="N42" s="88" t="s">
        <v>29</v>
      </c>
      <c r="O42" s="87" t="s">
        <v>29</v>
      </c>
      <c r="P42" s="88" t="s">
        <v>29</v>
      </c>
      <c r="Q42" s="87" t="s">
        <v>29</v>
      </c>
      <c r="R42" s="87" t="s">
        <v>29</v>
      </c>
      <c r="S42" s="88" t="s">
        <v>29</v>
      </c>
      <c r="T42" s="87" t="s">
        <v>29</v>
      </c>
    </row>
    <row r="43" spans="1:20" ht="15.75" customHeight="1" x14ac:dyDescent="0.25">
      <c r="A43" s="23"/>
      <c r="B43" s="145" t="s">
        <v>61</v>
      </c>
      <c r="C43" s="146"/>
      <c r="D43" s="2" t="s">
        <v>58</v>
      </c>
      <c r="E43" s="141"/>
      <c r="F43" s="131"/>
      <c r="G43" s="97">
        <v>45</v>
      </c>
      <c r="H43" s="98" t="s">
        <v>29</v>
      </c>
      <c r="I43" s="99" t="s">
        <v>29</v>
      </c>
      <c r="J43" s="87" t="s">
        <v>29</v>
      </c>
      <c r="K43" s="88" t="s">
        <v>29</v>
      </c>
      <c r="L43" s="88" t="s">
        <v>29</v>
      </c>
      <c r="M43" s="87" t="s">
        <v>29</v>
      </c>
      <c r="N43" s="88" t="s">
        <v>29</v>
      </c>
      <c r="O43" s="87" t="s">
        <v>29</v>
      </c>
      <c r="P43" s="88" t="s">
        <v>29</v>
      </c>
      <c r="Q43" s="87" t="s">
        <v>29</v>
      </c>
      <c r="R43" s="87" t="s">
        <v>29</v>
      </c>
      <c r="S43" s="88" t="s">
        <v>29</v>
      </c>
      <c r="T43" s="87" t="s">
        <v>29</v>
      </c>
    </row>
    <row r="44" spans="1:20" ht="15.75" customHeight="1" x14ac:dyDescent="0.25">
      <c r="A44" s="23"/>
      <c r="B44" s="147" t="s">
        <v>8</v>
      </c>
      <c r="C44" s="148"/>
      <c r="D44" s="2" t="s">
        <v>58</v>
      </c>
      <c r="E44" s="141"/>
      <c r="F44" s="131"/>
      <c r="G44" s="97">
        <f>38+35</f>
        <v>73</v>
      </c>
      <c r="H44" s="98" t="s">
        <v>29</v>
      </c>
      <c r="I44" s="99" t="s">
        <v>29</v>
      </c>
      <c r="J44" s="87" t="s">
        <v>29</v>
      </c>
      <c r="K44" s="88" t="s">
        <v>29</v>
      </c>
      <c r="L44" s="88" t="s">
        <v>29</v>
      </c>
      <c r="M44" s="87" t="s">
        <v>29</v>
      </c>
      <c r="N44" s="88" t="s">
        <v>29</v>
      </c>
      <c r="O44" s="87" t="s">
        <v>29</v>
      </c>
      <c r="P44" s="88" t="s">
        <v>29</v>
      </c>
      <c r="Q44" s="87" t="s">
        <v>29</v>
      </c>
      <c r="R44" s="87" t="s">
        <v>29</v>
      </c>
      <c r="S44" s="88" t="s">
        <v>29</v>
      </c>
      <c r="T44" s="87" t="s">
        <v>29</v>
      </c>
    </row>
    <row r="45" spans="1:20" ht="15.75" customHeight="1" x14ac:dyDescent="0.25">
      <c r="A45" s="23"/>
      <c r="B45" s="147" t="s">
        <v>9</v>
      </c>
      <c r="C45" s="148"/>
      <c r="D45" s="2" t="s">
        <v>58</v>
      </c>
      <c r="E45" s="141"/>
      <c r="F45" s="131"/>
      <c r="G45" s="100">
        <v>35</v>
      </c>
      <c r="H45" s="98" t="s">
        <v>29</v>
      </c>
      <c r="I45" s="99" t="s">
        <v>29</v>
      </c>
      <c r="J45" s="87" t="s">
        <v>29</v>
      </c>
      <c r="K45" s="88" t="s">
        <v>29</v>
      </c>
      <c r="L45" s="88" t="s">
        <v>29</v>
      </c>
      <c r="M45" s="87" t="s">
        <v>29</v>
      </c>
      <c r="N45" s="88" t="s">
        <v>29</v>
      </c>
      <c r="O45" s="87" t="s">
        <v>29</v>
      </c>
      <c r="P45" s="88" t="s">
        <v>29</v>
      </c>
      <c r="Q45" s="87" t="s">
        <v>29</v>
      </c>
      <c r="R45" s="87" t="s">
        <v>29</v>
      </c>
      <c r="S45" s="88" t="s">
        <v>29</v>
      </c>
      <c r="T45" s="87" t="s">
        <v>29</v>
      </c>
    </row>
    <row r="46" spans="1:20" ht="15.75" customHeight="1" x14ac:dyDescent="0.25">
      <c r="A46" s="23"/>
      <c r="B46" s="149" t="s">
        <v>7</v>
      </c>
      <c r="C46" s="150"/>
      <c r="D46" s="2" t="s">
        <v>58</v>
      </c>
      <c r="E46" s="141"/>
      <c r="F46" s="131"/>
      <c r="G46" s="97">
        <f>33</f>
        <v>33</v>
      </c>
      <c r="H46" s="98" t="s">
        <v>29</v>
      </c>
      <c r="I46" s="99" t="s">
        <v>29</v>
      </c>
      <c r="J46" s="87" t="s">
        <v>29</v>
      </c>
      <c r="K46" s="88" t="s">
        <v>29</v>
      </c>
      <c r="L46" s="88" t="s">
        <v>29</v>
      </c>
      <c r="M46" s="87" t="s">
        <v>29</v>
      </c>
      <c r="N46" s="88" t="s">
        <v>29</v>
      </c>
      <c r="O46" s="87" t="s">
        <v>29</v>
      </c>
      <c r="P46" s="88" t="s">
        <v>29</v>
      </c>
      <c r="Q46" s="87" t="s">
        <v>29</v>
      </c>
      <c r="R46" s="87" t="s">
        <v>29</v>
      </c>
      <c r="S46" s="88" t="s">
        <v>29</v>
      </c>
      <c r="T46" s="87" t="s">
        <v>29</v>
      </c>
    </row>
    <row r="47" spans="1:20" ht="15.75" customHeight="1" x14ac:dyDescent="0.25">
      <c r="A47" s="24"/>
      <c r="B47" s="149" t="s">
        <v>6</v>
      </c>
      <c r="C47" s="150"/>
      <c r="D47" s="2" t="s">
        <v>58</v>
      </c>
      <c r="E47" s="141"/>
      <c r="F47" s="131"/>
      <c r="G47" s="97">
        <v>40</v>
      </c>
      <c r="H47" s="98" t="s">
        <v>29</v>
      </c>
      <c r="I47" s="99" t="s">
        <v>29</v>
      </c>
      <c r="J47" s="87" t="s">
        <v>29</v>
      </c>
      <c r="K47" s="88" t="s">
        <v>29</v>
      </c>
      <c r="L47" s="88" t="s">
        <v>29</v>
      </c>
      <c r="M47" s="87" t="s">
        <v>29</v>
      </c>
      <c r="N47" s="88" t="s">
        <v>29</v>
      </c>
      <c r="O47" s="87" t="s">
        <v>29</v>
      </c>
      <c r="P47" s="88" t="s">
        <v>29</v>
      </c>
      <c r="Q47" s="87" t="s">
        <v>29</v>
      </c>
      <c r="R47" s="87" t="s">
        <v>29</v>
      </c>
      <c r="S47" s="88" t="s">
        <v>29</v>
      </c>
      <c r="T47" s="87" t="s">
        <v>29</v>
      </c>
    </row>
    <row r="48" spans="1:20" ht="21.75" customHeight="1" x14ac:dyDescent="0.2">
      <c r="A48" s="142" t="s">
        <v>62</v>
      </c>
      <c r="B48" s="143"/>
      <c r="C48" s="143"/>
      <c r="D48" s="143"/>
      <c r="E48" s="143"/>
      <c r="F48" s="144"/>
      <c r="G48" s="96">
        <f>SUM(G42:G47)</f>
        <v>271</v>
      </c>
      <c r="H48" s="96">
        <f t="shared" ref="H48:T48" si="11">SUM(H42:H47)</f>
        <v>0</v>
      </c>
      <c r="I48" s="96">
        <f t="shared" si="11"/>
        <v>0</v>
      </c>
      <c r="J48" s="85">
        <f t="shared" si="11"/>
        <v>0</v>
      </c>
      <c r="K48" s="85">
        <f t="shared" si="11"/>
        <v>0</v>
      </c>
      <c r="L48" s="85">
        <f t="shared" si="11"/>
        <v>0</v>
      </c>
      <c r="M48" s="85">
        <f t="shared" si="11"/>
        <v>0</v>
      </c>
      <c r="N48" s="85">
        <f t="shared" si="11"/>
        <v>0</v>
      </c>
      <c r="O48" s="85">
        <f t="shared" si="11"/>
        <v>0</v>
      </c>
      <c r="P48" s="85">
        <f t="shared" si="11"/>
        <v>0</v>
      </c>
      <c r="Q48" s="85">
        <f t="shared" si="11"/>
        <v>0</v>
      </c>
      <c r="R48" s="85">
        <f t="shared" si="11"/>
        <v>0</v>
      </c>
      <c r="S48" s="85">
        <f t="shared" si="11"/>
        <v>0</v>
      </c>
      <c r="T48" s="85">
        <f t="shared" si="11"/>
        <v>0</v>
      </c>
    </row>
    <row r="49" spans="1:21" ht="15.75" customHeight="1" x14ac:dyDescent="0.25">
      <c r="A49" s="16">
        <v>8</v>
      </c>
      <c r="B49" s="169" t="s">
        <v>63</v>
      </c>
      <c r="C49" s="170"/>
      <c r="D49" s="2" t="s">
        <v>64</v>
      </c>
      <c r="E49" s="141"/>
      <c r="F49" s="131"/>
      <c r="G49" s="78">
        <v>0</v>
      </c>
      <c r="H49" s="78">
        <v>235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</row>
    <row r="50" spans="1:21" ht="15.75" customHeight="1" x14ac:dyDescent="0.25">
      <c r="A50" s="16"/>
      <c r="B50" s="129"/>
      <c r="C50" s="129"/>
      <c r="D50" s="3"/>
      <c r="E50" s="130"/>
      <c r="F50" s="131"/>
      <c r="G50" s="78">
        <v>0</v>
      </c>
      <c r="H50" s="78">
        <v>0</v>
      </c>
      <c r="I50" s="79">
        <v>0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</row>
    <row r="51" spans="1:21" ht="15.75" customHeight="1" x14ac:dyDescent="0.2">
      <c r="A51" s="142" t="s">
        <v>65</v>
      </c>
      <c r="B51" s="143"/>
      <c r="C51" s="143"/>
      <c r="D51" s="143"/>
      <c r="E51" s="143"/>
      <c r="F51" s="144"/>
      <c r="G51" s="101">
        <f>SUM(G49:G50)</f>
        <v>0</v>
      </c>
      <c r="H51" s="101">
        <f t="shared" ref="H51:T51" si="12">SUM(H49:H50)</f>
        <v>235</v>
      </c>
      <c r="I51" s="101">
        <f t="shared" si="12"/>
        <v>0</v>
      </c>
      <c r="J51" s="89">
        <f t="shared" si="12"/>
        <v>0</v>
      </c>
      <c r="K51" s="89">
        <f t="shared" si="12"/>
        <v>0</v>
      </c>
      <c r="L51" s="89">
        <f t="shared" si="12"/>
        <v>0</v>
      </c>
      <c r="M51" s="89">
        <f t="shared" si="12"/>
        <v>0</v>
      </c>
      <c r="N51" s="89">
        <f t="shared" si="12"/>
        <v>0</v>
      </c>
      <c r="O51" s="89">
        <f t="shared" si="12"/>
        <v>0</v>
      </c>
      <c r="P51" s="89">
        <f t="shared" si="12"/>
        <v>0</v>
      </c>
      <c r="Q51" s="89">
        <f t="shared" si="12"/>
        <v>0</v>
      </c>
      <c r="R51" s="89">
        <f t="shared" si="12"/>
        <v>0</v>
      </c>
      <c r="S51" s="89">
        <f t="shared" si="12"/>
        <v>0</v>
      </c>
      <c r="T51" s="89">
        <f t="shared" si="12"/>
        <v>0</v>
      </c>
    </row>
    <row r="52" spans="1:21" ht="224.25" customHeight="1" x14ac:dyDescent="0.2">
      <c r="A52" s="25">
        <v>10</v>
      </c>
      <c r="B52" s="173" t="s">
        <v>66</v>
      </c>
      <c r="C52" s="174"/>
      <c r="D52" s="26" t="s">
        <v>67</v>
      </c>
      <c r="E52" s="171" t="s">
        <v>144</v>
      </c>
      <c r="F52" s="172"/>
      <c r="G52" s="102">
        <f>G94</f>
        <v>4325</v>
      </c>
      <c r="H52" s="102">
        <f t="shared" ref="H52:T52" si="13">H94</f>
        <v>3339</v>
      </c>
      <c r="I52" s="102">
        <f t="shared" si="13"/>
        <v>381</v>
      </c>
      <c r="J52" s="90">
        <f t="shared" si="13"/>
        <v>7.5</v>
      </c>
      <c r="K52" s="90">
        <f t="shared" si="13"/>
        <v>0</v>
      </c>
      <c r="L52" s="90">
        <f t="shared" si="13"/>
        <v>0</v>
      </c>
      <c r="M52" s="90">
        <f>M94</f>
        <v>4.4000000000000004</v>
      </c>
      <c r="N52" s="90">
        <f t="shared" si="13"/>
        <v>0</v>
      </c>
      <c r="O52" s="90">
        <f t="shared" si="13"/>
        <v>11</v>
      </c>
      <c r="P52" s="90">
        <f t="shared" si="13"/>
        <v>0</v>
      </c>
      <c r="Q52" s="90">
        <f t="shared" si="13"/>
        <v>0</v>
      </c>
      <c r="R52" s="90">
        <f t="shared" si="13"/>
        <v>0</v>
      </c>
      <c r="S52" s="90">
        <f t="shared" si="13"/>
        <v>0</v>
      </c>
      <c r="T52" s="90">
        <f t="shared" si="13"/>
        <v>0</v>
      </c>
    </row>
    <row r="53" spans="1:21" ht="14.25" customHeight="1" x14ac:dyDescent="0.2">
      <c r="A53" s="142" t="s">
        <v>68</v>
      </c>
      <c r="B53" s="143"/>
      <c r="C53" s="143"/>
      <c r="D53" s="143"/>
      <c r="E53" s="143"/>
      <c r="F53" s="144"/>
      <c r="G53" s="96">
        <f>G52</f>
        <v>4325</v>
      </c>
      <c r="H53" s="96">
        <f t="shared" ref="H53:T53" si="14">H52</f>
        <v>3339</v>
      </c>
      <c r="I53" s="96">
        <f t="shared" si="14"/>
        <v>381</v>
      </c>
      <c r="J53" s="85">
        <f>J52</f>
        <v>7.5</v>
      </c>
      <c r="K53" s="85">
        <f t="shared" si="14"/>
        <v>0</v>
      </c>
      <c r="L53" s="85">
        <f t="shared" si="14"/>
        <v>0</v>
      </c>
      <c r="M53" s="85">
        <f t="shared" si="14"/>
        <v>4.4000000000000004</v>
      </c>
      <c r="N53" s="85">
        <f t="shared" si="14"/>
        <v>0</v>
      </c>
      <c r="O53" s="85">
        <f t="shared" si="14"/>
        <v>11</v>
      </c>
      <c r="P53" s="85">
        <f t="shared" si="14"/>
        <v>0</v>
      </c>
      <c r="Q53" s="85">
        <f t="shared" si="14"/>
        <v>0</v>
      </c>
      <c r="R53" s="85">
        <f t="shared" si="14"/>
        <v>0</v>
      </c>
      <c r="S53" s="85">
        <f t="shared" si="14"/>
        <v>0</v>
      </c>
      <c r="T53" s="85">
        <f t="shared" si="14"/>
        <v>0</v>
      </c>
    </row>
    <row r="54" spans="1:21" ht="15.75" customHeight="1" x14ac:dyDescent="0.2">
      <c r="A54" s="134">
        <v>11</v>
      </c>
      <c r="B54" s="203"/>
      <c r="C54" s="204"/>
      <c r="D54" s="44" t="s">
        <v>29</v>
      </c>
      <c r="E54" s="205" t="s">
        <v>29</v>
      </c>
      <c r="F54" s="204"/>
      <c r="G54" s="78">
        <v>301</v>
      </c>
      <c r="H54" s="78" t="s">
        <v>29</v>
      </c>
      <c r="I54" s="79" t="s">
        <v>29</v>
      </c>
      <c r="J54" s="57" t="s">
        <v>29</v>
      </c>
      <c r="K54" s="58" t="s">
        <v>29</v>
      </c>
      <c r="L54" s="58" t="s">
        <v>29</v>
      </c>
      <c r="M54" s="57" t="s">
        <v>29</v>
      </c>
      <c r="N54" s="58" t="s">
        <v>29</v>
      </c>
      <c r="O54" s="57" t="s">
        <v>29</v>
      </c>
      <c r="P54" s="58" t="s">
        <v>29</v>
      </c>
      <c r="Q54" s="57" t="s">
        <v>29</v>
      </c>
      <c r="R54" s="57" t="s">
        <v>29</v>
      </c>
      <c r="S54" s="58" t="s">
        <v>29</v>
      </c>
      <c r="T54" s="57" t="s">
        <v>29</v>
      </c>
    </row>
    <row r="55" spans="1:21" ht="15.75" customHeight="1" x14ac:dyDescent="0.2">
      <c r="A55" s="135"/>
      <c r="B55" s="132"/>
      <c r="C55" s="132"/>
      <c r="D55" s="45"/>
      <c r="E55" s="133"/>
      <c r="F55" s="133"/>
      <c r="G55" s="78" t="s">
        <v>29</v>
      </c>
      <c r="H55" s="78" t="s">
        <v>29</v>
      </c>
      <c r="I55" s="79" t="s">
        <v>29</v>
      </c>
      <c r="J55" s="57" t="s">
        <v>29</v>
      </c>
      <c r="K55" s="58" t="s">
        <v>29</v>
      </c>
      <c r="L55" s="58" t="s">
        <v>29</v>
      </c>
      <c r="M55" s="57" t="s">
        <v>29</v>
      </c>
      <c r="N55" s="58" t="s">
        <v>29</v>
      </c>
      <c r="O55" s="57" t="s">
        <v>29</v>
      </c>
      <c r="P55" s="58" t="s">
        <v>29</v>
      </c>
      <c r="Q55" s="57" t="s">
        <v>29</v>
      </c>
      <c r="R55" s="57" t="s">
        <v>29</v>
      </c>
      <c r="S55" s="58" t="s">
        <v>29</v>
      </c>
      <c r="T55" s="57" t="s">
        <v>29</v>
      </c>
    </row>
    <row r="56" spans="1:21" ht="15.75" customHeight="1" x14ac:dyDescent="0.2">
      <c r="A56" s="142" t="s">
        <v>69</v>
      </c>
      <c r="B56" s="206"/>
      <c r="C56" s="206"/>
      <c r="D56" s="206"/>
      <c r="E56" s="206"/>
      <c r="F56" s="207"/>
      <c r="G56" s="101">
        <f>SUM(G54:G55)</f>
        <v>301</v>
      </c>
      <c r="H56" s="101">
        <f t="shared" ref="H56:T56" si="15">SUM(H54:H55)</f>
        <v>0</v>
      </c>
      <c r="I56" s="101">
        <f t="shared" si="15"/>
        <v>0</v>
      </c>
      <c r="J56" s="89">
        <f t="shared" si="15"/>
        <v>0</v>
      </c>
      <c r="K56" s="89">
        <f t="shared" si="15"/>
        <v>0</v>
      </c>
      <c r="L56" s="89">
        <f t="shared" si="15"/>
        <v>0</v>
      </c>
      <c r="M56" s="89">
        <f t="shared" si="15"/>
        <v>0</v>
      </c>
      <c r="N56" s="89">
        <f t="shared" si="15"/>
        <v>0</v>
      </c>
      <c r="O56" s="89">
        <f t="shared" si="15"/>
        <v>0</v>
      </c>
      <c r="P56" s="89">
        <f t="shared" si="15"/>
        <v>0</v>
      </c>
      <c r="Q56" s="89">
        <f t="shared" si="15"/>
        <v>0</v>
      </c>
      <c r="R56" s="89">
        <f t="shared" si="15"/>
        <v>0</v>
      </c>
      <c r="S56" s="89">
        <f t="shared" si="15"/>
        <v>0</v>
      </c>
      <c r="T56" s="89">
        <f t="shared" si="15"/>
        <v>0</v>
      </c>
    </row>
    <row r="57" spans="1:21" ht="22.5" customHeight="1" x14ac:dyDescent="0.25">
      <c r="A57" s="190">
        <v>12</v>
      </c>
      <c r="B57" s="169" t="s">
        <v>70</v>
      </c>
      <c r="C57" s="170"/>
      <c r="D57" s="2" t="s">
        <v>71</v>
      </c>
      <c r="E57" s="141"/>
      <c r="F57" s="131"/>
      <c r="G57" s="78" t="s">
        <v>29</v>
      </c>
      <c r="H57" s="78" t="s">
        <v>29</v>
      </c>
      <c r="I57" s="79" t="s">
        <v>29</v>
      </c>
      <c r="J57" s="57" t="s">
        <v>29</v>
      </c>
      <c r="K57" s="58">
        <v>6</v>
      </c>
      <c r="L57" s="58">
        <v>8</v>
      </c>
      <c r="M57" s="57" t="s">
        <v>29</v>
      </c>
      <c r="N57" s="58">
        <v>11.6</v>
      </c>
      <c r="O57" s="57">
        <v>23</v>
      </c>
      <c r="P57" s="58" t="s">
        <v>29</v>
      </c>
      <c r="Q57" s="57" t="s">
        <v>29</v>
      </c>
      <c r="R57" s="57" t="s">
        <v>29</v>
      </c>
      <c r="S57" s="58" t="s">
        <v>29</v>
      </c>
      <c r="T57" s="57" t="s">
        <v>29</v>
      </c>
    </row>
    <row r="58" spans="1:21" ht="18.75" customHeight="1" x14ac:dyDescent="0.2">
      <c r="A58" s="191"/>
      <c r="B58" s="169" t="s">
        <v>72</v>
      </c>
      <c r="C58" s="170"/>
      <c r="D58" s="2" t="s">
        <v>71</v>
      </c>
      <c r="E58" s="136" t="s">
        <v>29</v>
      </c>
      <c r="F58" s="137"/>
      <c r="G58" s="78" t="s">
        <v>29</v>
      </c>
      <c r="H58" s="78" t="s">
        <v>29</v>
      </c>
      <c r="I58" s="79" t="s">
        <v>29</v>
      </c>
      <c r="J58" s="57" t="s">
        <v>29</v>
      </c>
      <c r="K58" s="58" t="s">
        <v>29</v>
      </c>
      <c r="L58" s="58" t="s">
        <v>29</v>
      </c>
      <c r="M58" s="57" t="s">
        <v>29</v>
      </c>
      <c r="N58" s="58" t="s">
        <v>29</v>
      </c>
      <c r="O58" s="57" t="s">
        <v>29</v>
      </c>
      <c r="P58" s="58" t="s">
        <v>29</v>
      </c>
      <c r="Q58" s="57" t="s">
        <v>29</v>
      </c>
      <c r="R58" s="57" t="s">
        <v>29</v>
      </c>
      <c r="S58" s="58" t="s">
        <v>29</v>
      </c>
      <c r="T58" s="57" t="s">
        <v>29</v>
      </c>
    </row>
    <row r="59" spans="1:21" ht="15.75" customHeight="1" x14ac:dyDescent="0.2">
      <c r="A59" s="142" t="s">
        <v>73</v>
      </c>
      <c r="B59" s="143"/>
      <c r="C59" s="143"/>
      <c r="D59" s="143"/>
      <c r="E59" s="143"/>
      <c r="F59" s="144"/>
      <c r="G59" s="101">
        <f>SUM(G57:G58)</f>
        <v>0</v>
      </c>
      <c r="H59" s="101">
        <f t="shared" ref="H59:T59" si="16">SUM(H57:H58)</f>
        <v>0</v>
      </c>
      <c r="I59" s="101">
        <f t="shared" si="16"/>
        <v>0</v>
      </c>
      <c r="J59" s="89">
        <f t="shared" si="16"/>
        <v>0</v>
      </c>
      <c r="K59" s="89">
        <f t="shared" si="16"/>
        <v>6</v>
      </c>
      <c r="L59" s="89">
        <f t="shared" si="16"/>
        <v>8</v>
      </c>
      <c r="M59" s="89">
        <f t="shared" si="16"/>
        <v>0</v>
      </c>
      <c r="N59" s="89">
        <f t="shared" si="16"/>
        <v>11.6</v>
      </c>
      <c r="O59" s="89">
        <f t="shared" si="16"/>
        <v>23</v>
      </c>
      <c r="P59" s="89">
        <f t="shared" si="16"/>
        <v>0</v>
      </c>
      <c r="Q59" s="89">
        <f t="shared" si="16"/>
        <v>0</v>
      </c>
      <c r="R59" s="89">
        <f t="shared" si="16"/>
        <v>0</v>
      </c>
      <c r="S59" s="89">
        <f t="shared" si="16"/>
        <v>0</v>
      </c>
      <c r="T59" s="89">
        <f t="shared" si="16"/>
        <v>0</v>
      </c>
    </row>
    <row r="60" spans="1:21" ht="26.25" customHeight="1" x14ac:dyDescent="0.2">
      <c r="A60" s="188" t="s">
        <v>10</v>
      </c>
      <c r="B60" s="184" t="s">
        <v>74</v>
      </c>
      <c r="C60" s="184" t="s">
        <v>75</v>
      </c>
      <c r="D60" s="184" t="s">
        <v>76</v>
      </c>
      <c r="E60" s="180" t="s">
        <v>77</v>
      </c>
      <c r="F60" s="181"/>
      <c r="G60" s="160" t="s">
        <v>78</v>
      </c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2"/>
    </row>
    <row r="61" spans="1:21" ht="100.5" customHeight="1" x14ac:dyDescent="0.2">
      <c r="A61" s="185"/>
      <c r="B61" s="185"/>
      <c r="C61" s="185"/>
      <c r="D61" s="185"/>
      <c r="E61" s="182"/>
      <c r="F61" s="189"/>
      <c r="G61" s="91" t="s">
        <v>42</v>
      </c>
      <c r="H61" s="91" t="s">
        <v>43</v>
      </c>
      <c r="I61" s="91" t="s">
        <v>44</v>
      </c>
      <c r="J61" s="91" t="s">
        <v>45</v>
      </c>
      <c r="K61" s="91" t="s">
        <v>46</v>
      </c>
      <c r="L61" s="91" t="s">
        <v>47</v>
      </c>
      <c r="M61" s="91" t="s">
        <v>48</v>
      </c>
      <c r="N61" s="91" t="s">
        <v>49</v>
      </c>
      <c r="O61" s="91" t="s">
        <v>50</v>
      </c>
      <c r="P61" s="91" t="s">
        <v>51</v>
      </c>
      <c r="Q61" s="91" t="s">
        <v>52</v>
      </c>
      <c r="R61" s="91" t="s">
        <v>53</v>
      </c>
      <c r="S61" s="92" t="s">
        <v>79</v>
      </c>
      <c r="T61" s="93" t="s">
        <v>54</v>
      </c>
    </row>
    <row r="62" spans="1:21" x14ac:dyDescent="0.2">
      <c r="A62" s="1">
        <v>1</v>
      </c>
      <c r="B62" s="2" t="s">
        <v>80</v>
      </c>
      <c r="C62" s="29">
        <v>3163</v>
      </c>
      <c r="D62" s="30" t="s">
        <v>83</v>
      </c>
      <c r="E62" s="186">
        <v>2710</v>
      </c>
      <c r="F62" s="187"/>
      <c r="G62" s="97">
        <v>516</v>
      </c>
      <c r="H62" s="104">
        <v>0</v>
      </c>
      <c r="I62" s="10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  <c r="P62" s="94">
        <v>0</v>
      </c>
      <c r="Q62" s="94">
        <v>0</v>
      </c>
      <c r="R62" s="94">
        <v>0</v>
      </c>
      <c r="S62" s="94">
        <v>0</v>
      </c>
      <c r="T62" s="94">
        <v>0</v>
      </c>
      <c r="U62" s="46"/>
    </row>
    <row r="63" spans="1:21" x14ac:dyDescent="0.2">
      <c r="A63" s="1">
        <v>2</v>
      </c>
      <c r="B63" s="2" t="s">
        <v>80</v>
      </c>
      <c r="C63" s="29">
        <v>3163</v>
      </c>
      <c r="D63" s="30" t="s">
        <v>84</v>
      </c>
      <c r="E63" s="186">
        <v>1856</v>
      </c>
      <c r="F63" s="187"/>
      <c r="G63" s="97">
        <v>291</v>
      </c>
      <c r="H63" s="104">
        <v>0</v>
      </c>
      <c r="I63" s="104">
        <v>0</v>
      </c>
      <c r="J63" s="94">
        <v>0</v>
      </c>
      <c r="K63" s="94">
        <v>0</v>
      </c>
      <c r="L63" s="94">
        <v>0</v>
      </c>
      <c r="M63" s="87">
        <f>2+2</f>
        <v>4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46"/>
    </row>
    <row r="64" spans="1:21" x14ac:dyDescent="0.2">
      <c r="A64" s="1">
        <v>3</v>
      </c>
      <c r="B64" s="2" t="s">
        <v>80</v>
      </c>
      <c r="C64" s="29">
        <v>3163</v>
      </c>
      <c r="D64" s="30" t="s">
        <v>85</v>
      </c>
      <c r="E64" s="186">
        <v>1160</v>
      </c>
      <c r="F64" s="187"/>
      <c r="G64" s="97">
        <v>180</v>
      </c>
      <c r="H64" s="104">
        <v>0</v>
      </c>
      <c r="I64" s="104">
        <v>0</v>
      </c>
      <c r="J64" s="94">
        <v>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0</v>
      </c>
      <c r="Q64" s="94">
        <v>0</v>
      </c>
      <c r="R64" s="94">
        <v>0</v>
      </c>
      <c r="S64" s="94">
        <v>0</v>
      </c>
      <c r="T64" s="94">
        <v>0</v>
      </c>
      <c r="U64" s="46"/>
    </row>
    <row r="65" spans="1:21" x14ac:dyDescent="0.2">
      <c r="A65" s="1">
        <v>4</v>
      </c>
      <c r="B65" s="2" t="s">
        <v>80</v>
      </c>
      <c r="C65" s="29">
        <v>3163</v>
      </c>
      <c r="D65" s="30" t="s">
        <v>82</v>
      </c>
      <c r="E65" s="186">
        <v>287</v>
      </c>
      <c r="F65" s="187"/>
      <c r="G65" s="97">
        <v>41</v>
      </c>
      <c r="H65" s="104">
        <v>0</v>
      </c>
      <c r="I65" s="10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46"/>
    </row>
    <row r="66" spans="1:21" x14ac:dyDescent="0.2">
      <c r="A66" s="1">
        <v>5</v>
      </c>
      <c r="B66" s="2" t="s">
        <v>80</v>
      </c>
      <c r="C66" s="29">
        <v>39094</v>
      </c>
      <c r="D66" s="30" t="s">
        <v>86</v>
      </c>
      <c r="E66" s="186">
        <v>679</v>
      </c>
      <c r="F66" s="187"/>
      <c r="G66" s="97">
        <v>123</v>
      </c>
      <c r="H66" s="104">
        <v>0</v>
      </c>
      <c r="I66" s="10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46"/>
    </row>
    <row r="67" spans="1:21" ht="15.75" customHeight="1" x14ac:dyDescent="0.2">
      <c r="A67" s="1">
        <v>6</v>
      </c>
      <c r="B67" s="2" t="s">
        <v>80</v>
      </c>
      <c r="C67" s="29">
        <v>374195</v>
      </c>
      <c r="D67" s="30" t="s">
        <v>81</v>
      </c>
      <c r="E67" s="186">
        <v>1721</v>
      </c>
      <c r="F67" s="187"/>
      <c r="G67" s="103">
        <v>377</v>
      </c>
      <c r="H67" s="104">
        <v>0</v>
      </c>
      <c r="I67" s="10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46"/>
    </row>
    <row r="68" spans="1:21" x14ac:dyDescent="0.2">
      <c r="A68" s="1">
        <v>7</v>
      </c>
      <c r="B68" s="2" t="s">
        <v>80</v>
      </c>
      <c r="C68" s="29">
        <v>31519</v>
      </c>
      <c r="D68" s="30" t="s">
        <v>87</v>
      </c>
      <c r="E68" s="186">
        <v>3231</v>
      </c>
      <c r="F68" s="187"/>
      <c r="G68" s="97">
        <v>791</v>
      </c>
      <c r="H68" s="104">
        <v>0</v>
      </c>
      <c r="I68" s="10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46"/>
    </row>
    <row r="69" spans="1:21" x14ac:dyDescent="0.2">
      <c r="A69" s="1">
        <v>8</v>
      </c>
      <c r="B69" s="2" t="s">
        <v>88</v>
      </c>
      <c r="C69" s="29">
        <v>3302</v>
      </c>
      <c r="D69" s="30" t="s">
        <v>89</v>
      </c>
      <c r="E69" s="186">
        <v>811</v>
      </c>
      <c r="F69" s="187"/>
      <c r="G69" s="97">
        <v>138</v>
      </c>
      <c r="H69" s="104">
        <v>0</v>
      </c>
      <c r="I69" s="10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f>2+1.5</f>
        <v>3.5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46"/>
    </row>
    <row r="70" spans="1:21" x14ac:dyDescent="0.2">
      <c r="A70" s="1">
        <v>9</v>
      </c>
      <c r="B70" s="2" t="s">
        <v>90</v>
      </c>
      <c r="C70" s="30" t="s">
        <v>91</v>
      </c>
      <c r="D70" s="30" t="s">
        <v>92</v>
      </c>
      <c r="E70" s="186">
        <v>832</v>
      </c>
      <c r="F70" s="187"/>
      <c r="G70" s="97">
        <v>568</v>
      </c>
      <c r="H70" s="104">
        <v>0</v>
      </c>
      <c r="I70" s="104">
        <v>0</v>
      </c>
      <c r="J70" s="86">
        <v>1.5</v>
      </c>
      <c r="K70" s="94">
        <v>0</v>
      </c>
      <c r="L70" s="94">
        <v>0</v>
      </c>
      <c r="M70" s="94">
        <v>0</v>
      </c>
      <c r="N70" s="94">
        <v>0</v>
      </c>
      <c r="O70" s="94">
        <v>0</v>
      </c>
      <c r="P70" s="94">
        <v>0</v>
      </c>
      <c r="Q70" s="94">
        <v>0</v>
      </c>
      <c r="R70" s="94">
        <v>0</v>
      </c>
      <c r="S70" s="94">
        <v>0</v>
      </c>
      <c r="T70" s="94">
        <v>0</v>
      </c>
      <c r="U70" s="46"/>
    </row>
    <row r="71" spans="1:21" x14ac:dyDescent="0.2">
      <c r="A71" s="1">
        <v>10</v>
      </c>
      <c r="B71" s="2" t="s">
        <v>90</v>
      </c>
      <c r="C71" s="29">
        <v>431410</v>
      </c>
      <c r="D71" s="30" t="s">
        <v>93</v>
      </c>
      <c r="E71" s="186">
        <v>2348</v>
      </c>
      <c r="F71" s="187"/>
      <c r="G71" s="97">
        <v>848</v>
      </c>
      <c r="H71" s="104">
        <v>0</v>
      </c>
      <c r="I71" s="104">
        <v>0</v>
      </c>
      <c r="J71" s="86">
        <v>2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0</v>
      </c>
      <c r="T71" s="94">
        <v>0</v>
      </c>
      <c r="U71" s="46"/>
    </row>
    <row r="72" spans="1:21" x14ac:dyDescent="0.2">
      <c r="A72" s="1">
        <v>11</v>
      </c>
      <c r="B72" s="2" t="s">
        <v>90</v>
      </c>
      <c r="C72" s="29">
        <v>131</v>
      </c>
      <c r="D72" s="30" t="s">
        <v>94</v>
      </c>
      <c r="E72" s="186">
        <v>134</v>
      </c>
      <c r="F72" s="187"/>
      <c r="G72" s="97">
        <v>72</v>
      </c>
      <c r="H72" s="104">
        <v>0</v>
      </c>
      <c r="I72" s="104">
        <v>0</v>
      </c>
      <c r="J72" s="94">
        <v>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94">
        <v>0</v>
      </c>
      <c r="T72" s="94">
        <v>0</v>
      </c>
      <c r="U72" s="46"/>
    </row>
    <row r="73" spans="1:21" x14ac:dyDescent="0.2">
      <c r="A73" s="1">
        <v>12</v>
      </c>
      <c r="B73" s="2" t="s">
        <v>90</v>
      </c>
      <c r="C73" s="29">
        <v>131</v>
      </c>
      <c r="D73" s="30" t="s">
        <v>95</v>
      </c>
      <c r="E73" s="186">
        <v>556</v>
      </c>
      <c r="F73" s="187"/>
      <c r="G73" s="97">
        <v>380</v>
      </c>
      <c r="H73" s="104">
        <v>0</v>
      </c>
      <c r="I73" s="104">
        <v>0</v>
      </c>
      <c r="J73" s="86">
        <v>4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94">
        <v>0</v>
      </c>
      <c r="U73" s="46"/>
    </row>
    <row r="74" spans="1:21" x14ac:dyDescent="0.2">
      <c r="A74" s="1">
        <v>13</v>
      </c>
      <c r="B74" s="2" t="s">
        <v>96</v>
      </c>
      <c r="C74" s="29">
        <v>1231</v>
      </c>
      <c r="D74" s="30" t="s">
        <v>97</v>
      </c>
      <c r="E74" s="186">
        <v>251</v>
      </c>
      <c r="F74" s="187"/>
      <c r="G74" s="104">
        <v>0</v>
      </c>
      <c r="H74" s="104">
        <v>0</v>
      </c>
      <c r="I74" s="105">
        <v>31</v>
      </c>
      <c r="J74" s="94">
        <v>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94">
        <v>0</v>
      </c>
      <c r="T74" s="94">
        <v>0</v>
      </c>
      <c r="U74" s="46"/>
    </row>
    <row r="75" spans="1:21" x14ac:dyDescent="0.2">
      <c r="A75" s="1">
        <v>14</v>
      </c>
      <c r="B75" s="2" t="s">
        <v>98</v>
      </c>
      <c r="C75" s="30" t="s">
        <v>99</v>
      </c>
      <c r="D75" s="30" t="s">
        <v>100</v>
      </c>
      <c r="E75" s="186">
        <v>3253</v>
      </c>
      <c r="F75" s="187"/>
      <c r="G75" s="104">
        <v>0</v>
      </c>
      <c r="H75" s="104">
        <v>0</v>
      </c>
      <c r="I75" s="105">
        <v>313</v>
      </c>
      <c r="J75" s="94">
        <v>0</v>
      </c>
      <c r="K75" s="94">
        <v>0</v>
      </c>
      <c r="L75" s="94">
        <v>0</v>
      </c>
      <c r="M75" s="87">
        <v>0.4</v>
      </c>
      <c r="N75" s="94">
        <v>0</v>
      </c>
      <c r="O75" s="94">
        <v>0</v>
      </c>
      <c r="P75" s="94">
        <v>0</v>
      </c>
      <c r="Q75" s="94">
        <v>0</v>
      </c>
      <c r="R75" s="94">
        <v>0</v>
      </c>
      <c r="S75" s="94">
        <v>0</v>
      </c>
      <c r="T75" s="94">
        <v>0</v>
      </c>
      <c r="U75" s="46"/>
    </row>
    <row r="76" spans="1:21" x14ac:dyDescent="0.2">
      <c r="A76" s="1">
        <v>15</v>
      </c>
      <c r="B76" s="2" t="s">
        <v>101</v>
      </c>
      <c r="C76" s="30" t="s">
        <v>102</v>
      </c>
      <c r="D76" s="30" t="s">
        <v>103</v>
      </c>
      <c r="E76" s="186">
        <v>482</v>
      </c>
      <c r="F76" s="187"/>
      <c r="G76" s="104">
        <v>0</v>
      </c>
      <c r="H76" s="104">
        <v>0</v>
      </c>
      <c r="I76" s="105">
        <v>37</v>
      </c>
      <c r="J76" s="94">
        <v>0</v>
      </c>
      <c r="K76" s="94">
        <v>0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0</v>
      </c>
      <c r="S76" s="94">
        <v>0</v>
      </c>
      <c r="T76" s="94">
        <v>0</v>
      </c>
      <c r="U76" s="46"/>
    </row>
    <row r="77" spans="1:21" x14ac:dyDescent="0.2">
      <c r="A77" s="1">
        <v>16</v>
      </c>
      <c r="B77" s="2" t="s">
        <v>104</v>
      </c>
      <c r="C77" s="29">
        <v>4320</v>
      </c>
      <c r="D77" s="30" t="s">
        <v>105</v>
      </c>
      <c r="E77" s="151">
        <v>0</v>
      </c>
      <c r="F77" s="152"/>
      <c r="G77" s="104">
        <v>0</v>
      </c>
      <c r="H77" s="104">
        <v>0</v>
      </c>
      <c r="I77" s="104">
        <v>0</v>
      </c>
      <c r="J77" s="94">
        <v>0</v>
      </c>
      <c r="K77" s="94">
        <v>0</v>
      </c>
      <c r="L77" s="94">
        <v>0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0</v>
      </c>
      <c r="S77" s="94">
        <v>0</v>
      </c>
      <c r="T77" s="94">
        <v>0</v>
      </c>
      <c r="U77" s="46"/>
    </row>
    <row r="78" spans="1:21" x14ac:dyDescent="0.2">
      <c r="A78" s="1">
        <v>17</v>
      </c>
      <c r="B78" s="2" t="s">
        <v>80</v>
      </c>
      <c r="C78" s="29">
        <v>315148</v>
      </c>
      <c r="D78" s="30" t="s">
        <v>106</v>
      </c>
      <c r="E78" s="151">
        <v>0</v>
      </c>
      <c r="F78" s="152"/>
      <c r="G78" s="104">
        <v>0</v>
      </c>
      <c r="H78" s="104">
        <v>0</v>
      </c>
      <c r="I78" s="104">
        <v>0</v>
      </c>
      <c r="J78" s="94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94">
        <v>0</v>
      </c>
      <c r="T78" s="94">
        <v>0</v>
      </c>
      <c r="U78" s="46"/>
    </row>
    <row r="79" spans="1:21" x14ac:dyDescent="0.2">
      <c r="A79" s="1">
        <v>18</v>
      </c>
      <c r="B79" s="2" t="s">
        <v>107</v>
      </c>
      <c r="C79" s="30" t="s">
        <v>108</v>
      </c>
      <c r="D79" s="30" t="s">
        <v>109</v>
      </c>
      <c r="E79" s="186">
        <v>267</v>
      </c>
      <c r="F79" s="187"/>
      <c r="G79" s="104">
        <v>0</v>
      </c>
      <c r="H79" s="97">
        <v>112</v>
      </c>
      <c r="I79" s="104">
        <v>0</v>
      </c>
      <c r="J79" s="94"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94">
        <v>0</v>
      </c>
      <c r="U79" s="46"/>
    </row>
    <row r="80" spans="1:21" x14ac:dyDescent="0.2">
      <c r="A80" s="1">
        <v>19</v>
      </c>
      <c r="B80" s="2" t="s">
        <v>107</v>
      </c>
      <c r="C80" s="30" t="s">
        <v>110</v>
      </c>
      <c r="D80" s="30" t="s">
        <v>111</v>
      </c>
      <c r="E80" s="186">
        <v>462</v>
      </c>
      <c r="F80" s="187"/>
      <c r="G80" s="104">
        <v>0</v>
      </c>
      <c r="H80" s="97">
        <v>180</v>
      </c>
      <c r="I80" s="10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94">
        <v>0</v>
      </c>
      <c r="U80" s="46"/>
    </row>
    <row r="81" spans="1:22" x14ac:dyDescent="0.2">
      <c r="A81" s="1">
        <v>20</v>
      </c>
      <c r="B81" s="2" t="s">
        <v>107</v>
      </c>
      <c r="C81" s="30" t="s">
        <v>112</v>
      </c>
      <c r="D81" s="30" t="s">
        <v>113</v>
      </c>
      <c r="E81" s="186">
        <v>662</v>
      </c>
      <c r="F81" s="187"/>
      <c r="G81" s="104">
        <v>0</v>
      </c>
      <c r="H81" s="97">
        <v>628</v>
      </c>
      <c r="I81" s="10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46"/>
    </row>
    <row r="82" spans="1:22" x14ac:dyDescent="0.2">
      <c r="A82" s="1">
        <v>21</v>
      </c>
      <c r="B82" s="2" t="s">
        <v>107</v>
      </c>
      <c r="C82" s="29">
        <v>437143</v>
      </c>
      <c r="D82" s="30" t="s">
        <v>114</v>
      </c>
      <c r="E82" s="186">
        <v>2192</v>
      </c>
      <c r="F82" s="187"/>
      <c r="G82" s="104">
        <v>0</v>
      </c>
      <c r="H82" s="97">
        <v>464</v>
      </c>
      <c r="I82" s="104">
        <v>0</v>
      </c>
      <c r="J82" s="94">
        <v>0</v>
      </c>
      <c r="K82" s="94">
        <v>0</v>
      </c>
      <c r="L82" s="94">
        <v>0</v>
      </c>
      <c r="M82" s="94">
        <v>0</v>
      </c>
      <c r="N82" s="95"/>
      <c r="O82" s="86">
        <f>1.5+2</f>
        <v>3.5</v>
      </c>
      <c r="P82" s="94">
        <v>0</v>
      </c>
      <c r="Q82" s="94">
        <v>0</v>
      </c>
      <c r="R82" s="94">
        <v>0</v>
      </c>
      <c r="S82" s="94">
        <v>0</v>
      </c>
      <c r="T82" s="94">
        <v>0</v>
      </c>
      <c r="U82" s="46"/>
    </row>
    <row r="83" spans="1:22" x14ac:dyDescent="0.2">
      <c r="A83" s="1">
        <v>22</v>
      </c>
      <c r="B83" s="2" t="s">
        <v>88</v>
      </c>
      <c r="C83" s="30" t="s">
        <v>115</v>
      </c>
      <c r="D83" s="30" t="s">
        <v>116</v>
      </c>
      <c r="E83" s="186">
        <v>3395</v>
      </c>
      <c r="F83" s="187"/>
      <c r="G83" s="104">
        <v>0</v>
      </c>
      <c r="H83" s="97">
        <v>457</v>
      </c>
      <c r="I83" s="104">
        <v>0</v>
      </c>
      <c r="J83" s="94">
        <v>0</v>
      </c>
      <c r="K83" s="94">
        <v>0</v>
      </c>
      <c r="L83" s="94">
        <v>0</v>
      </c>
      <c r="M83" s="94">
        <v>0</v>
      </c>
      <c r="N83" s="94">
        <v>0</v>
      </c>
      <c r="O83" s="94">
        <v>0</v>
      </c>
      <c r="P83" s="94">
        <v>0</v>
      </c>
      <c r="Q83" s="94">
        <v>0</v>
      </c>
      <c r="R83" s="94">
        <v>0</v>
      </c>
      <c r="S83" s="94">
        <v>0</v>
      </c>
      <c r="T83" s="94">
        <v>0</v>
      </c>
      <c r="U83" s="46"/>
    </row>
    <row r="84" spans="1:22" x14ac:dyDescent="0.2">
      <c r="A84" s="1">
        <v>23</v>
      </c>
      <c r="B84" s="2" t="s">
        <v>107</v>
      </c>
      <c r="C84" s="29">
        <v>5551</v>
      </c>
      <c r="D84" s="30" t="s">
        <v>117</v>
      </c>
      <c r="E84" s="186">
        <v>0</v>
      </c>
      <c r="F84" s="187"/>
      <c r="G84" s="104">
        <v>0</v>
      </c>
      <c r="H84" s="104">
        <v>0</v>
      </c>
      <c r="I84" s="104">
        <v>0</v>
      </c>
      <c r="J84" s="94">
        <v>0</v>
      </c>
      <c r="K84" s="94">
        <v>0</v>
      </c>
      <c r="L84" s="94">
        <v>0</v>
      </c>
      <c r="M84" s="94">
        <v>0</v>
      </c>
      <c r="N84" s="94">
        <v>0</v>
      </c>
      <c r="O84" s="94">
        <v>0</v>
      </c>
      <c r="P84" s="94">
        <v>0</v>
      </c>
      <c r="Q84" s="94">
        <v>0</v>
      </c>
      <c r="R84" s="94">
        <v>0</v>
      </c>
      <c r="S84" s="94">
        <v>0</v>
      </c>
      <c r="T84" s="94">
        <v>0</v>
      </c>
      <c r="U84" s="46"/>
    </row>
    <row r="85" spans="1:22" ht="17.25" customHeight="1" x14ac:dyDescent="0.2">
      <c r="A85" s="1">
        <v>24</v>
      </c>
      <c r="B85" s="2" t="s">
        <v>107</v>
      </c>
      <c r="C85" s="29">
        <v>6303</v>
      </c>
      <c r="D85" s="30" t="s">
        <v>118</v>
      </c>
      <c r="E85" s="186">
        <v>654</v>
      </c>
      <c r="F85" s="187"/>
      <c r="G85" s="104">
        <v>0</v>
      </c>
      <c r="H85" s="97">
        <v>337</v>
      </c>
      <c r="I85" s="10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87">
        <v>4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46"/>
    </row>
    <row r="86" spans="1:22" x14ac:dyDescent="0.2">
      <c r="A86" s="1">
        <v>25</v>
      </c>
      <c r="B86" s="2" t="s">
        <v>119</v>
      </c>
      <c r="C86" s="29">
        <v>420224</v>
      </c>
      <c r="D86" s="30" t="s">
        <v>120</v>
      </c>
      <c r="E86" s="186">
        <v>6598</v>
      </c>
      <c r="F86" s="187"/>
      <c r="G86" s="104">
        <v>0</v>
      </c>
      <c r="H86" s="97">
        <v>1087</v>
      </c>
      <c r="I86" s="104">
        <v>0</v>
      </c>
      <c r="J86" s="94">
        <v>0</v>
      </c>
      <c r="K86" s="94">
        <v>0</v>
      </c>
      <c r="L86" s="94">
        <v>0</v>
      </c>
      <c r="M86" s="94">
        <v>0</v>
      </c>
      <c r="N86" s="94">
        <v>0</v>
      </c>
      <c r="O86" s="94">
        <v>0</v>
      </c>
      <c r="P86" s="94">
        <v>0</v>
      </c>
      <c r="Q86" s="94">
        <v>0</v>
      </c>
      <c r="R86" s="94">
        <v>0</v>
      </c>
      <c r="S86" s="94">
        <v>0</v>
      </c>
      <c r="T86" s="94">
        <v>0</v>
      </c>
      <c r="U86" s="46"/>
    </row>
    <row r="87" spans="1:22" x14ac:dyDescent="0.2">
      <c r="A87" s="1">
        <v>26</v>
      </c>
      <c r="B87" s="2" t="s">
        <v>88</v>
      </c>
      <c r="C87" s="29">
        <v>331041</v>
      </c>
      <c r="D87" s="30" t="s">
        <v>121</v>
      </c>
      <c r="E87" s="151">
        <v>209</v>
      </c>
      <c r="F87" s="152"/>
      <c r="G87" s="104">
        <v>0</v>
      </c>
      <c r="H87" s="98">
        <v>36</v>
      </c>
      <c r="I87" s="10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46"/>
    </row>
    <row r="88" spans="1:22" x14ac:dyDescent="0.25">
      <c r="A88" s="1">
        <v>27</v>
      </c>
      <c r="B88" s="2" t="s">
        <v>122</v>
      </c>
      <c r="C88" s="30" t="s">
        <v>123</v>
      </c>
      <c r="D88" s="30" t="s">
        <v>124</v>
      </c>
      <c r="E88" s="151">
        <v>292</v>
      </c>
      <c r="F88" s="152"/>
      <c r="G88" s="104">
        <v>0</v>
      </c>
      <c r="H88" s="98">
        <v>38</v>
      </c>
      <c r="I88" s="104">
        <v>0</v>
      </c>
      <c r="J88" s="94">
        <v>0</v>
      </c>
      <c r="K88" s="94">
        <v>0</v>
      </c>
      <c r="L88" s="94">
        <v>0</v>
      </c>
      <c r="M88" s="94">
        <v>0</v>
      </c>
      <c r="N88" s="94">
        <v>0</v>
      </c>
      <c r="O88" s="94">
        <v>0</v>
      </c>
      <c r="P88" s="94">
        <v>0</v>
      </c>
      <c r="Q88" s="94">
        <v>0</v>
      </c>
      <c r="R88" s="94">
        <v>0</v>
      </c>
      <c r="S88" s="94">
        <v>0</v>
      </c>
      <c r="T88" s="94">
        <v>0</v>
      </c>
      <c r="U88" s="46"/>
      <c r="V88" s="31"/>
    </row>
    <row r="89" spans="1:22" x14ac:dyDescent="0.25">
      <c r="A89" s="1">
        <v>28</v>
      </c>
      <c r="B89" s="2" t="s">
        <v>88</v>
      </c>
      <c r="C89" s="29">
        <v>66</v>
      </c>
      <c r="D89" s="30" t="s">
        <v>125</v>
      </c>
      <c r="E89" s="151">
        <v>0</v>
      </c>
      <c r="F89" s="152"/>
      <c r="G89" s="104">
        <v>0</v>
      </c>
      <c r="H89" s="104">
        <v>0</v>
      </c>
      <c r="I89" s="104">
        <v>0</v>
      </c>
      <c r="J89" s="94">
        <v>0</v>
      </c>
      <c r="K89" s="94">
        <v>0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94">
        <v>0</v>
      </c>
      <c r="T89" s="94">
        <v>0</v>
      </c>
      <c r="U89" s="46"/>
      <c r="V89" s="31"/>
    </row>
    <row r="90" spans="1:22" x14ac:dyDescent="0.25">
      <c r="A90" s="1">
        <v>29</v>
      </c>
      <c r="B90" s="2" t="s">
        <v>88</v>
      </c>
      <c r="C90" s="29">
        <v>66</v>
      </c>
      <c r="D90" s="30" t="s">
        <v>126</v>
      </c>
      <c r="E90" s="151">
        <v>0</v>
      </c>
      <c r="F90" s="152"/>
      <c r="G90" s="104">
        <v>0</v>
      </c>
      <c r="H90" s="104">
        <v>0</v>
      </c>
      <c r="I90" s="104">
        <v>0</v>
      </c>
      <c r="J90" s="94">
        <v>0</v>
      </c>
      <c r="K90" s="94">
        <v>0</v>
      </c>
      <c r="L90" s="94">
        <v>0</v>
      </c>
      <c r="M90" s="94">
        <v>0</v>
      </c>
      <c r="N90" s="94">
        <v>0</v>
      </c>
      <c r="O90" s="94">
        <v>0</v>
      </c>
      <c r="P90" s="94">
        <v>0</v>
      </c>
      <c r="Q90" s="94">
        <v>0</v>
      </c>
      <c r="R90" s="94">
        <v>0</v>
      </c>
      <c r="S90" s="94">
        <v>0</v>
      </c>
      <c r="T90" s="94">
        <v>0</v>
      </c>
      <c r="U90" s="46"/>
      <c r="V90" s="31"/>
    </row>
    <row r="91" spans="1:22" ht="17.850000000000001" customHeight="1" x14ac:dyDescent="0.25">
      <c r="A91" s="1">
        <v>30</v>
      </c>
      <c r="B91" s="2" t="s">
        <v>88</v>
      </c>
      <c r="C91" s="29">
        <v>32213</v>
      </c>
      <c r="D91" s="30" t="s">
        <v>127</v>
      </c>
      <c r="E91" s="151">
        <v>0</v>
      </c>
      <c r="F91" s="152"/>
      <c r="G91" s="104">
        <v>0</v>
      </c>
      <c r="H91" s="104">
        <v>0</v>
      </c>
      <c r="I91" s="10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 s="94">
        <v>0</v>
      </c>
      <c r="T91" s="94">
        <v>0</v>
      </c>
      <c r="U91" s="46"/>
      <c r="V91" s="31"/>
    </row>
    <row r="92" spans="1:22" ht="16.5" customHeight="1" x14ac:dyDescent="0.2">
      <c r="A92" s="1">
        <v>31</v>
      </c>
      <c r="B92" s="2" t="s">
        <v>90</v>
      </c>
      <c r="C92" s="29">
        <v>131</v>
      </c>
      <c r="D92" s="30" t="s">
        <v>128</v>
      </c>
      <c r="E92" s="151">
        <v>0</v>
      </c>
      <c r="F92" s="152"/>
      <c r="G92" s="104">
        <v>0</v>
      </c>
      <c r="H92" s="104">
        <v>0</v>
      </c>
      <c r="I92" s="10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46"/>
      <c r="V92" s="13"/>
    </row>
    <row r="93" spans="1:22" ht="17.25" customHeight="1" x14ac:dyDescent="0.2">
      <c r="A93" s="1">
        <v>32</v>
      </c>
      <c r="B93" s="2" t="s">
        <v>107</v>
      </c>
      <c r="C93" s="29">
        <v>437143</v>
      </c>
      <c r="D93" s="30" t="s">
        <v>129</v>
      </c>
      <c r="E93" s="151">
        <v>0</v>
      </c>
      <c r="F93" s="152"/>
      <c r="G93" s="104">
        <v>0</v>
      </c>
      <c r="H93" s="104">
        <v>0</v>
      </c>
      <c r="I93" s="104">
        <v>0</v>
      </c>
      <c r="J93" s="94">
        <v>0</v>
      </c>
      <c r="K93" s="94">
        <v>0</v>
      </c>
      <c r="L93" s="94">
        <v>0</v>
      </c>
      <c r="M93" s="94">
        <v>0</v>
      </c>
      <c r="N93" s="94">
        <v>0</v>
      </c>
      <c r="O93" s="94">
        <v>0</v>
      </c>
      <c r="P93" s="94">
        <v>0</v>
      </c>
      <c r="Q93" s="94">
        <v>0</v>
      </c>
      <c r="R93" s="94">
        <v>0</v>
      </c>
      <c r="S93" s="94">
        <v>0</v>
      </c>
      <c r="T93" s="94">
        <v>0</v>
      </c>
      <c r="U93" s="46"/>
      <c r="V93" s="32"/>
    </row>
    <row r="94" spans="1:22" ht="26.25" customHeight="1" x14ac:dyDescent="0.2">
      <c r="A94" s="157" t="s">
        <v>130</v>
      </c>
      <c r="B94" s="158"/>
      <c r="C94" s="158"/>
      <c r="D94" s="158"/>
      <c r="E94" s="158"/>
      <c r="F94" s="159"/>
      <c r="G94" s="96">
        <f>SUM(G62:G93)</f>
        <v>4325</v>
      </c>
      <c r="H94" s="96">
        <f t="shared" ref="H94:T94" si="17">SUM(H62:H93)</f>
        <v>3339</v>
      </c>
      <c r="I94" s="96">
        <f t="shared" si="17"/>
        <v>381</v>
      </c>
      <c r="J94" s="85">
        <f t="shared" si="17"/>
        <v>7.5</v>
      </c>
      <c r="K94" s="85">
        <f t="shared" si="17"/>
        <v>0</v>
      </c>
      <c r="L94" s="85">
        <f t="shared" si="17"/>
        <v>0</v>
      </c>
      <c r="M94" s="85">
        <f>SUM(M62:M93)</f>
        <v>4.4000000000000004</v>
      </c>
      <c r="N94" s="85">
        <f t="shared" si="17"/>
        <v>0</v>
      </c>
      <c r="O94" s="85">
        <f>SUM(O62:O93)</f>
        <v>11</v>
      </c>
      <c r="P94" s="85">
        <f t="shared" si="17"/>
        <v>0</v>
      </c>
      <c r="Q94" s="85">
        <f t="shared" si="17"/>
        <v>0</v>
      </c>
      <c r="R94" s="85">
        <f t="shared" si="17"/>
        <v>0</v>
      </c>
      <c r="S94" s="85">
        <f t="shared" si="17"/>
        <v>0</v>
      </c>
      <c r="T94" s="85">
        <f t="shared" si="17"/>
        <v>0</v>
      </c>
      <c r="U94" s="13"/>
      <c r="V94" s="13"/>
    </row>
    <row r="95" spans="1:22" ht="59.25" customHeight="1" x14ac:dyDescent="0.2">
      <c r="A95" s="153" t="s">
        <v>131</v>
      </c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33"/>
      <c r="V95" s="33"/>
    </row>
    <row r="96" spans="1:22" ht="29.25" customHeight="1" x14ac:dyDescent="0.2">
      <c r="A96" s="154" t="s">
        <v>132</v>
      </c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</row>
    <row r="97" spans="1:22" ht="155.25" customHeight="1" x14ac:dyDescent="0.2">
      <c r="A97" s="155" t="s">
        <v>133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4"/>
    </row>
    <row r="98" spans="1:22" ht="35.25" customHeight="1" x14ac:dyDescent="0.2">
      <c r="A98" s="156" t="s">
        <v>134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34"/>
      <c r="V98" s="34"/>
    </row>
  </sheetData>
  <autoFilter ref="A2:V98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25">
    <mergeCell ref="B54:C54"/>
    <mergeCell ref="E54:F54"/>
    <mergeCell ref="A56:F56"/>
    <mergeCell ref="B57:C57"/>
    <mergeCell ref="E57:F57"/>
    <mergeCell ref="E85:F85"/>
    <mergeCell ref="E86:F86"/>
    <mergeCell ref="E87:F87"/>
    <mergeCell ref="E88:F88"/>
    <mergeCell ref="E81:F81"/>
    <mergeCell ref="E82:F82"/>
    <mergeCell ref="E83:F83"/>
    <mergeCell ref="E84:F84"/>
    <mergeCell ref="E80:F80"/>
    <mergeCell ref="E62:F62"/>
    <mergeCell ref="E63:F63"/>
    <mergeCell ref="A3:A4"/>
    <mergeCell ref="G3:G4"/>
    <mergeCell ref="B3:E4"/>
    <mergeCell ref="I3:L3"/>
    <mergeCell ref="M3:P3"/>
    <mergeCell ref="B5:E5"/>
    <mergeCell ref="B6:E6"/>
    <mergeCell ref="B15:E15"/>
    <mergeCell ref="B16:E16"/>
    <mergeCell ref="F3:F4"/>
    <mergeCell ref="H3:H4"/>
    <mergeCell ref="B17:E17"/>
    <mergeCell ref="B18:E18"/>
    <mergeCell ref="B19:E19"/>
    <mergeCell ref="B20:E20"/>
    <mergeCell ref="B21:E21"/>
    <mergeCell ref="B29:E29"/>
    <mergeCell ref="B30:E30"/>
    <mergeCell ref="B31:E31"/>
    <mergeCell ref="B40:C40"/>
    <mergeCell ref="E40:F40"/>
    <mergeCell ref="B27:E27"/>
    <mergeCell ref="B28:E28"/>
    <mergeCell ref="B22:E22"/>
    <mergeCell ref="B24:E24"/>
    <mergeCell ref="B25:E25"/>
    <mergeCell ref="B26:E26"/>
    <mergeCell ref="A48:F48"/>
    <mergeCell ref="E72:F72"/>
    <mergeCell ref="E73:F73"/>
    <mergeCell ref="E74:F74"/>
    <mergeCell ref="E75:F75"/>
    <mergeCell ref="E76:F76"/>
    <mergeCell ref="E77:F77"/>
    <mergeCell ref="E78:F78"/>
    <mergeCell ref="E79:F79"/>
    <mergeCell ref="A60:A61"/>
    <mergeCell ref="B60:B61"/>
    <mergeCell ref="C60:C61"/>
    <mergeCell ref="D60:D61"/>
    <mergeCell ref="E60:F61"/>
    <mergeCell ref="A59:F59"/>
    <mergeCell ref="E64:F64"/>
    <mergeCell ref="E66:F66"/>
    <mergeCell ref="E68:F68"/>
    <mergeCell ref="E69:F69"/>
    <mergeCell ref="E70:F70"/>
    <mergeCell ref="E71:F71"/>
    <mergeCell ref="A57:A58"/>
    <mergeCell ref="E67:F67"/>
    <mergeCell ref="E65:F65"/>
    <mergeCell ref="G60:T60"/>
    <mergeCell ref="Q3:Q4"/>
    <mergeCell ref="R3:R4"/>
    <mergeCell ref="S3:S4"/>
    <mergeCell ref="T3:T4"/>
    <mergeCell ref="B49:C49"/>
    <mergeCell ref="E49:F49"/>
    <mergeCell ref="A51:F51"/>
    <mergeCell ref="E52:F52"/>
    <mergeCell ref="B52:C52"/>
    <mergeCell ref="A53:F53"/>
    <mergeCell ref="B32:E32"/>
    <mergeCell ref="G34:T34"/>
    <mergeCell ref="A33:T33"/>
    <mergeCell ref="A34:A35"/>
    <mergeCell ref="B34:C35"/>
    <mergeCell ref="D34:D35"/>
    <mergeCell ref="E34:F35"/>
    <mergeCell ref="E36:F36"/>
    <mergeCell ref="E37:F37"/>
    <mergeCell ref="B36:C36"/>
    <mergeCell ref="B37:C37"/>
    <mergeCell ref="B58:C58"/>
    <mergeCell ref="E58:F58"/>
    <mergeCell ref="E89:F89"/>
    <mergeCell ref="E90:F90"/>
    <mergeCell ref="E91:F91"/>
    <mergeCell ref="E92:F92"/>
    <mergeCell ref="E93:F93"/>
    <mergeCell ref="A95:T95"/>
    <mergeCell ref="A96:T96"/>
    <mergeCell ref="A97:T97"/>
    <mergeCell ref="A98:T98"/>
    <mergeCell ref="A94:F94"/>
    <mergeCell ref="A2:I2"/>
    <mergeCell ref="J2:L2"/>
    <mergeCell ref="A1:I1"/>
    <mergeCell ref="B50:C50"/>
    <mergeCell ref="E50:F50"/>
    <mergeCell ref="B55:C55"/>
    <mergeCell ref="E55:F55"/>
    <mergeCell ref="A54:A55"/>
    <mergeCell ref="E38:F38"/>
    <mergeCell ref="E39:F39"/>
    <mergeCell ref="B23:E23"/>
    <mergeCell ref="E42:F42"/>
    <mergeCell ref="A41:F41"/>
    <mergeCell ref="E43:F43"/>
    <mergeCell ref="E44:F44"/>
    <mergeCell ref="E45:F45"/>
    <mergeCell ref="E46:F46"/>
    <mergeCell ref="E47:F47"/>
    <mergeCell ref="B42:C42"/>
    <mergeCell ref="B43:C43"/>
    <mergeCell ref="B44:C44"/>
    <mergeCell ref="B45:C45"/>
    <mergeCell ref="B46:C46"/>
    <mergeCell ref="B47:C47"/>
  </mergeCells>
  <phoneticPr fontId="3" type="noConversion"/>
  <pageMargins left="0.51181102362204722" right="0.51181102362204722" top="0.35433070866141736" bottom="0.35433070866141736" header="0.31496062992125984" footer="0.31496062992125984"/>
  <pageSetup paperSize="9" scale="57" fitToHeight="0" orientation="landscape" r:id="rId1"/>
  <rowBreaks count="2" manualBreakCount="2">
    <brk id="33" max="16383" man="1"/>
    <brk id="5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7"/>
  <sheetViews>
    <sheetView topLeftCell="A21" workbookViewId="0">
      <selection activeCell="J43" sqref="J43"/>
    </sheetView>
  </sheetViews>
  <sheetFormatPr defaultColWidth="9.33203125" defaultRowHeight="15.75" x14ac:dyDescent="0.2"/>
  <cols>
    <col min="1" max="1" width="6.5" style="7" customWidth="1"/>
    <col min="2" max="2" width="22.5" style="7" customWidth="1"/>
    <col min="3" max="3" width="15.6640625" style="7" customWidth="1"/>
    <col min="4" max="4" width="19.5" style="7" customWidth="1"/>
    <col min="5" max="5" width="14.1640625" style="7" customWidth="1"/>
    <col min="6" max="6" width="11.5" style="7" customWidth="1"/>
    <col min="7" max="7" width="10.5" style="7" customWidth="1"/>
    <col min="8" max="20" width="12.6640625" style="7" customWidth="1"/>
    <col min="21" max="22" width="10.5" style="7" customWidth="1"/>
    <col min="23" max="23" width="5.83203125" style="7" customWidth="1"/>
    <col min="24" max="24" width="3.33203125" style="7" customWidth="1"/>
    <col min="25" max="16384" width="9.33203125" style="7"/>
  </cols>
  <sheetData>
    <row r="1" spans="1:21" ht="48.75" customHeight="1" x14ac:dyDescent="0.2">
      <c r="A1" s="128" t="s">
        <v>150</v>
      </c>
      <c r="B1" s="128"/>
      <c r="C1" s="128"/>
      <c r="D1" s="128"/>
      <c r="E1" s="128"/>
      <c r="F1" s="128"/>
      <c r="G1" s="128"/>
      <c r="H1" s="128"/>
      <c r="I1" s="128"/>
    </row>
    <row r="2" spans="1:21" ht="25.5" customHeight="1" x14ac:dyDescent="0.2">
      <c r="A2" s="125" t="s">
        <v>145</v>
      </c>
      <c r="B2" s="125"/>
      <c r="C2" s="125"/>
      <c r="D2" s="125"/>
      <c r="E2" s="125"/>
      <c r="F2" s="125"/>
      <c r="G2" s="125"/>
      <c r="H2" s="125"/>
      <c r="I2" s="125"/>
      <c r="J2" s="126">
        <v>46101</v>
      </c>
      <c r="K2" s="127"/>
      <c r="L2" s="127"/>
      <c r="M2" s="14"/>
      <c r="N2" s="14"/>
      <c r="O2" s="14"/>
      <c r="P2" s="14"/>
      <c r="Q2" s="14"/>
      <c r="R2" s="14"/>
      <c r="S2" s="14"/>
      <c r="T2" s="14"/>
      <c r="U2" s="14"/>
    </row>
    <row r="3" spans="1:21" ht="18" customHeight="1" x14ac:dyDescent="0.25">
      <c r="A3" s="178" t="s">
        <v>19</v>
      </c>
      <c r="B3" s="180" t="s">
        <v>20</v>
      </c>
      <c r="C3" s="194"/>
      <c r="D3" s="194"/>
      <c r="E3" s="181"/>
      <c r="F3" s="178" t="s">
        <v>21</v>
      </c>
      <c r="G3" s="178" t="s">
        <v>22</v>
      </c>
      <c r="H3" s="201" t="s">
        <v>146</v>
      </c>
      <c r="I3" s="195" t="s">
        <v>17</v>
      </c>
      <c r="J3" s="196"/>
      <c r="K3" s="196"/>
      <c r="L3" s="197"/>
      <c r="M3" s="195" t="s">
        <v>18</v>
      </c>
      <c r="N3" s="196"/>
      <c r="O3" s="196"/>
      <c r="P3" s="197"/>
      <c r="Q3" s="163" t="s">
        <v>147</v>
      </c>
      <c r="R3" s="165" t="s">
        <v>148</v>
      </c>
      <c r="S3" s="167" t="s">
        <v>23</v>
      </c>
      <c r="T3" s="168" t="s">
        <v>24</v>
      </c>
      <c r="U3" s="11"/>
    </row>
    <row r="4" spans="1:21" s="10" customFormat="1" ht="147.75" customHeight="1" x14ac:dyDescent="0.25">
      <c r="A4" s="179"/>
      <c r="B4" s="182"/>
      <c r="C4" s="189"/>
      <c r="D4" s="189"/>
      <c r="E4" s="183"/>
      <c r="F4" s="179"/>
      <c r="G4" s="179"/>
      <c r="H4" s="202"/>
      <c r="I4" s="8" t="s">
        <v>11</v>
      </c>
      <c r="J4" s="4" t="s">
        <v>16</v>
      </c>
      <c r="K4" s="5" t="s">
        <v>12</v>
      </c>
      <c r="L4" s="48" t="s">
        <v>151</v>
      </c>
      <c r="M4" s="49" t="s">
        <v>152</v>
      </c>
      <c r="N4" s="8" t="s">
        <v>14</v>
      </c>
      <c r="O4" s="8" t="s">
        <v>15</v>
      </c>
      <c r="P4" s="50" t="s">
        <v>13</v>
      </c>
      <c r="Q4" s="164"/>
      <c r="R4" s="166"/>
      <c r="S4" s="167"/>
      <c r="T4" s="168"/>
      <c r="U4" s="9"/>
    </row>
    <row r="5" spans="1:21" ht="12.75" customHeight="1" x14ac:dyDescent="0.25">
      <c r="A5" s="27">
        <v>1</v>
      </c>
      <c r="B5" s="198">
        <v>2</v>
      </c>
      <c r="C5" s="199"/>
      <c r="D5" s="199"/>
      <c r="E5" s="200"/>
      <c r="F5" s="18">
        <v>3</v>
      </c>
      <c r="G5" s="20">
        <v>4</v>
      </c>
      <c r="H5" s="41">
        <v>5</v>
      </c>
      <c r="I5" s="20">
        <v>6</v>
      </c>
      <c r="J5" s="18">
        <v>7</v>
      </c>
      <c r="K5" s="18">
        <v>8</v>
      </c>
      <c r="L5" s="39">
        <v>9</v>
      </c>
      <c r="M5" s="43">
        <v>10</v>
      </c>
      <c r="N5" s="20">
        <v>11</v>
      </c>
      <c r="O5" s="20">
        <v>12</v>
      </c>
      <c r="P5" s="40">
        <v>13</v>
      </c>
      <c r="Q5" s="40">
        <v>14</v>
      </c>
      <c r="R5" s="42">
        <v>15</v>
      </c>
      <c r="S5" s="47">
        <v>16</v>
      </c>
      <c r="T5" s="38">
        <v>17</v>
      </c>
      <c r="U5" s="11"/>
    </row>
    <row r="6" spans="1:21" ht="30.75" customHeight="1" x14ac:dyDescent="0.2">
      <c r="A6" s="15">
        <v>1</v>
      </c>
      <c r="B6" s="138" t="s">
        <v>135</v>
      </c>
      <c r="C6" s="139"/>
      <c r="D6" s="139"/>
      <c r="E6" s="140"/>
      <c r="F6" s="17" t="s">
        <v>25</v>
      </c>
      <c r="G6" s="30" t="s">
        <v>29</v>
      </c>
      <c r="H6" s="68">
        <v>1555</v>
      </c>
      <c r="I6" s="69">
        <f>$G42</f>
        <v>4250</v>
      </c>
      <c r="J6" s="69">
        <f>$G50</f>
        <v>316</v>
      </c>
      <c r="K6" s="69">
        <f>$G53</f>
        <v>0</v>
      </c>
      <c r="L6" s="70">
        <f>SUM(I6:K6)</f>
        <v>4566</v>
      </c>
      <c r="M6" s="69">
        <f>$G55</f>
        <v>4095</v>
      </c>
      <c r="N6" s="69">
        <f>$G58</f>
        <v>147</v>
      </c>
      <c r="O6" s="69">
        <f>$G61</f>
        <v>0</v>
      </c>
      <c r="P6" s="71">
        <f>SUM(M6:O6)</f>
        <v>4242</v>
      </c>
      <c r="Q6" s="72">
        <f>H6+L6-P6</f>
        <v>1879</v>
      </c>
      <c r="R6" s="73">
        <f>M6+S6</f>
        <v>4095</v>
      </c>
      <c r="S6" s="74">
        <v>0</v>
      </c>
      <c r="T6" s="75">
        <v>0</v>
      </c>
      <c r="U6" s="12"/>
    </row>
    <row r="7" spans="1:21" ht="36.75" hidden="1" customHeight="1" x14ac:dyDescent="0.2">
      <c r="A7" s="15"/>
      <c r="B7" s="19" t="s">
        <v>1</v>
      </c>
      <c r="C7" s="35"/>
      <c r="D7" s="36"/>
      <c r="E7" s="35"/>
      <c r="F7" s="17"/>
      <c r="G7" s="30" t="s">
        <v>29</v>
      </c>
      <c r="H7" s="68">
        <f ca="1">февраль!Q7</f>
        <v>-344</v>
      </c>
      <c r="I7" s="76"/>
      <c r="J7" s="77"/>
      <c r="K7" s="78"/>
      <c r="L7" s="70">
        <f t="shared" ref="L7:L27" si="0">SUM(I7:K7)</f>
        <v>0</v>
      </c>
      <c r="M7" s="69">
        <f t="shared" ref="M7:M14" ca="1" si="1">R7-S7</f>
        <v>0</v>
      </c>
      <c r="N7" s="79">
        <v>14</v>
      </c>
      <c r="O7" s="79">
        <v>158</v>
      </c>
      <c r="P7" s="71">
        <f t="shared" ref="P7:P28" ca="1" si="2">SUM(M7:O7)</f>
        <v>172</v>
      </c>
      <c r="Q7" s="72">
        <f t="shared" ref="Q7:Q28" ca="1" si="3">H7+L7-P7</f>
        <v>-516</v>
      </c>
      <c r="R7" s="73">
        <f t="shared" ref="R7:R27" ca="1" si="4">M7+S7</f>
        <v>0</v>
      </c>
      <c r="S7" s="74">
        <v>0</v>
      </c>
      <c r="T7" s="75">
        <v>0</v>
      </c>
      <c r="U7" s="12"/>
    </row>
    <row r="8" spans="1:21" ht="36.75" hidden="1" customHeight="1" x14ac:dyDescent="0.2">
      <c r="A8" s="15"/>
      <c r="B8" s="19" t="s">
        <v>2</v>
      </c>
      <c r="C8" s="35"/>
      <c r="D8" s="36"/>
      <c r="E8" s="35"/>
      <c r="F8" s="17"/>
      <c r="G8" s="30" t="s">
        <v>29</v>
      </c>
      <c r="H8" s="68">
        <f ca="1">февраль!Q8</f>
        <v>0</v>
      </c>
      <c r="I8" s="76"/>
      <c r="J8" s="77"/>
      <c r="K8" s="78"/>
      <c r="L8" s="70">
        <f t="shared" si="0"/>
        <v>0</v>
      </c>
      <c r="M8" s="69">
        <f t="shared" ca="1" si="1"/>
        <v>0</v>
      </c>
      <c r="N8" s="79"/>
      <c r="O8" s="79"/>
      <c r="P8" s="71">
        <f t="shared" ca="1" si="2"/>
        <v>0</v>
      </c>
      <c r="Q8" s="72">
        <f t="shared" ca="1" si="3"/>
        <v>1389</v>
      </c>
      <c r="R8" s="73">
        <f t="shared" ca="1" si="4"/>
        <v>0</v>
      </c>
      <c r="S8" s="74">
        <v>0</v>
      </c>
      <c r="T8" s="75">
        <v>0</v>
      </c>
      <c r="U8" s="12"/>
    </row>
    <row r="9" spans="1:21" ht="36.75" hidden="1" customHeight="1" x14ac:dyDescent="0.2">
      <c r="A9" s="15"/>
      <c r="B9" s="19" t="s">
        <v>3</v>
      </c>
      <c r="C9" s="35"/>
      <c r="D9" s="36"/>
      <c r="E9" s="35"/>
      <c r="F9" s="17"/>
      <c r="G9" s="30" t="s">
        <v>29</v>
      </c>
      <c r="H9" s="68">
        <f ca="1">февраль!Q9</f>
        <v>0</v>
      </c>
      <c r="I9" s="76"/>
      <c r="J9" s="77"/>
      <c r="K9" s="78"/>
      <c r="L9" s="70">
        <f t="shared" si="0"/>
        <v>0</v>
      </c>
      <c r="M9" s="69">
        <f t="shared" ca="1" si="1"/>
        <v>0</v>
      </c>
      <c r="N9" s="79"/>
      <c r="O9" s="79"/>
      <c r="P9" s="71">
        <f t="shared" ca="1" si="2"/>
        <v>0</v>
      </c>
      <c r="Q9" s="72">
        <f t="shared" ca="1" si="3"/>
        <v>0</v>
      </c>
      <c r="R9" s="73">
        <f t="shared" ca="1" si="4"/>
        <v>0</v>
      </c>
      <c r="S9" s="74">
        <v>0</v>
      </c>
      <c r="T9" s="75">
        <v>0</v>
      </c>
      <c r="U9" s="12"/>
    </row>
    <row r="10" spans="1:21" ht="36.75" hidden="1" customHeight="1" x14ac:dyDescent="0.2">
      <c r="A10" s="15"/>
      <c r="B10" s="19" t="s">
        <v>4</v>
      </c>
      <c r="C10" s="35"/>
      <c r="D10" s="36"/>
      <c r="E10" s="35"/>
      <c r="F10" s="17"/>
      <c r="G10" s="30" t="s">
        <v>29</v>
      </c>
      <c r="H10" s="68">
        <f ca="1">февраль!Q10</f>
        <v>0</v>
      </c>
      <c r="I10" s="76"/>
      <c r="J10" s="77"/>
      <c r="K10" s="78"/>
      <c r="L10" s="70">
        <f t="shared" si="0"/>
        <v>0</v>
      </c>
      <c r="M10" s="69">
        <f t="shared" ca="1" si="1"/>
        <v>0</v>
      </c>
      <c r="N10" s="79"/>
      <c r="O10" s="79"/>
      <c r="P10" s="71">
        <f t="shared" ca="1" si="2"/>
        <v>0</v>
      </c>
      <c r="Q10" s="72">
        <f t="shared" ca="1" si="3"/>
        <v>1389</v>
      </c>
      <c r="R10" s="73">
        <f t="shared" ca="1" si="4"/>
        <v>0</v>
      </c>
      <c r="S10" s="74">
        <v>0</v>
      </c>
      <c r="T10" s="75">
        <v>0</v>
      </c>
      <c r="U10" s="12"/>
    </row>
    <row r="11" spans="1:21" ht="36.75" hidden="1" customHeight="1" x14ac:dyDescent="0.2">
      <c r="A11" s="15"/>
      <c r="B11" s="19" t="s">
        <v>5</v>
      </c>
      <c r="C11" s="35"/>
      <c r="D11" s="36"/>
      <c r="E11" s="35"/>
      <c r="F11" s="17"/>
      <c r="G11" s="30" t="s">
        <v>29</v>
      </c>
      <c r="H11" s="68">
        <f ca="1">февраль!Q11</f>
        <v>8068</v>
      </c>
      <c r="I11" s="76">
        <v>3763</v>
      </c>
      <c r="J11" s="77">
        <v>271</v>
      </c>
      <c r="K11" s="78"/>
      <c r="L11" s="70">
        <f t="shared" si="0"/>
        <v>4034</v>
      </c>
      <c r="M11" s="69">
        <f t="shared" ca="1" si="1"/>
        <v>0</v>
      </c>
      <c r="N11" s="79"/>
      <c r="O11" s="79"/>
      <c r="P11" s="71">
        <f t="shared" ca="1" si="2"/>
        <v>0</v>
      </c>
      <c r="Q11" s="72">
        <f t="shared" ca="1" si="3"/>
        <v>5423</v>
      </c>
      <c r="R11" s="73">
        <f t="shared" ca="1" si="4"/>
        <v>0</v>
      </c>
      <c r="S11" s="74">
        <v>0</v>
      </c>
      <c r="T11" s="75">
        <v>0</v>
      </c>
      <c r="U11" s="12"/>
    </row>
    <row r="12" spans="1:21" ht="31.5" hidden="1" customHeight="1" x14ac:dyDescent="0.2">
      <c r="A12" s="15"/>
      <c r="B12" s="19"/>
      <c r="C12" s="35"/>
      <c r="D12" s="36"/>
      <c r="E12" s="35"/>
      <c r="F12" s="17"/>
      <c r="G12" s="30" t="s">
        <v>29</v>
      </c>
      <c r="H12" s="68">
        <f ca="1">февраль!Q12</f>
        <v>0</v>
      </c>
      <c r="I12" s="76"/>
      <c r="J12" s="77"/>
      <c r="K12" s="78"/>
      <c r="L12" s="70">
        <f t="shared" si="0"/>
        <v>0</v>
      </c>
      <c r="M12" s="69">
        <f t="shared" ca="1" si="1"/>
        <v>0</v>
      </c>
      <c r="N12" s="79"/>
      <c r="O12" s="79"/>
      <c r="P12" s="71">
        <f t="shared" ca="1" si="2"/>
        <v>0</v>
      </c>
      <c r="Q12" s="72">
        <f t="shared" ca="1" si="3"/>
        <v>1389</v>
      </c>
      <c r="R12" s="73">
        <f t="shared" ca="1" si="4"/>
        <v>0</v>
      </c>
      <c r="S12" s="74">
        <v>0</v>
      </c>
      <c r="T12" s="75">
        <v>0</v>
      </c>
      <c r="U12" s="12"/>
    </row>
    <row r="13" spans="1:21" ht="35.25" hidden="1" customHeight="1" x14ac:dyDescent="0.2">
      <c r="A13" s="15"/>
      <c r="B13" s="19"/>
      <c r="C13" s="35"/>
      <c r="D13" s="36"/>
      <c r="E13" s="35"/>
      <c r="F13" s="17"/>
      <c r="G13" s="30" t="s">
        <v>29</v>
      </c>
      <c r="H13" s="68">
        <f ca="1">февраль!Q13</f>
        <v>0</v>
      </c>
      <c r="I13" s="76"/>
      <c r="J13" s="77"/>
      <c r="K13" s="78"/>
      <c r="L13" s="70">
        <f t="shared" si="0"/>
        <v>0</v>
      </c>
      <c r="M13" s="69">
        <f t="shared" ca="1" si="1"/>
        <v>0</v>
      </c>
      <c r="N13" s="79"/>
      <c r="O13" s="79"/>
      <c r="P13" s="71">
        <f t="shared" ca="1" si="2"/>
        <v>0</v>
      </c>
      <c r="Q13" s="72">
        <f t="shared" ca="1" si="3"/>
        <v>1389</v>
      </c>
      <c r="R13" s="73">
        <f t="shared" ca="1" si="4"/>
        <v>0</v>
      </c>
      <c r="S13" s="74">
        <v>0</v>
      </c>
      <c r="T13" s="75">
        <v>0</v>
      </c>
      <c r="U13" s="12"/>
    </row>
    <row r="14" spans="1:21" ht="35.25" hidden="1" customHeight="1" x14ac:dyDescent="0.2">
      <c r="A14" s="15"/>
      <c r="B14" s="19"/>
      <c r="C14" s="35"/>
      <c r="D14" s="36"/>
      <c r="E14" s="35"/>
      <c r="F14" s="17"/>
      <c r="G14" s="30" t="s">
        <v>29</v>
      </c>
      <c r="H14" s="68">
        <f ca="1">февраль!Q14</f>
        <v>0</v>
      </c>
      <c r="I14" s="76"/>
      <c r="J14" s="77"/>
      <c r="K14" s="78"/>
      <c r="L14" s="70">
        <f t="shared" si="0"/>
        <v>0</v>
      </c>
      <c r="M14" s="69">
        <f t="shared" ca="1" si="1"/>
        <v>0</v>
      </c>
      <c r="N14" s="79"/>
      <c r="O14" s="79"/>
      <c r="P14" s="71">
        <f t="shared" ca="1" si="2"/>
        <v>0</v>
      </c>
      <c r="Q14" s="72">
        <f t="shared" ca="1" si="3"/>
        <v>0</v>
      </c>
      <c r="R14" s="73">
        <f t="shared" ca="1" si="4"/>
        <v>0</v>
      </c>
      <c r="S14" s="74">
        <v>0</v>
      </c>
      <c r="T14" s="75">
        <v>0</v>
      </c>
      <c r="U14" s="12"/>
    </row>
    <row r="15" spans="1:21" ht="31.5" customHeight="1" x14ac:dyDescent="0.2">
      <c r="A15" s="15">
        <v>2</v>
      </c>
      <c r="B15" s="138" t="s">
        <v>136</v>
      </c>
      <c r="C15" s="139"/>
      <c r="D15" s="139"/>
      <c r="E15" s="140"/>
      <c r="F15" s="17" t="s">
        <v>25</v>
      </c>
      <c r="G15" s="30" t="s">
        <v>29</v>
      </c>
      <c r="H15" s="68">
        <f>февраль!Q15</f>
        <v>0</v>
      </c>
      <c r="I15" s="81">
        <v>0</v>
      </c>
      <c r="J15" s="82">
        <v>0</v>
      </c>
      <c r="K15" s="82">
        <v>0</v>
      </c>
      <c r="L15" s="70">
        <f t="shared" si="0"/>
        <v>0</v>
      </c>
      <c r="M15" s="81">
        <v>0</v>
      </c>
      <c r="N15" s="81">
        <v>0</v>
      </c>
      <c r="O15" s="81">
        <v>0</v>
      </c>
      <c r="P15" s="71">
        <f t="shared" si="2"/>
        <v>0</v>
      </c>
      <c r="Q15" s="72">
        <f t="shared" si="3"/>
        <v>0</v>
      </c>
      <c r="R15" s="73">
        <f t="shared" si="4"/>
        <v>0</v>
      </c>
      <c r="S15" s="74">
        <v>0</v>
      </c>
      <c r="T15" s="75">
        <v>0</v>
      </c>
      <c r="U15" s="12"/>
    </row>
    <row r="16" spans="1:21" ht="31.5" customHeight="1" x14ac:dyDescent="0.2">
      <c r="A16" s="15">
        <v>3</v>
      </c>
      <c r="B16" s="169" t="s">
        <v>26</v>
      </c>
      <c r="C16" s="175"/>
      <c r="D16" s="175"/>
      <c r="E16" s="170"/>
      <c r="F16" s="17" t="s">
        <v>25</v>
      </c>
      <c r="G16" s="30" t="s">
        <v>29</v>
      </c>
      <c r="H16" s="68">
        <f>февраль!Q16</f>
        <v>2146</v>
      </c>
      <c r="I16" s="69">
        <f>$H42</f>
        <v>3405</v>
      </c>
      <c r="J16" s="69">
        <f>$H50</f>
        <v>235</v>
      </c>
      <c r="K16" s="69">
        <f>$H53</f>
        <v>0</v>
      </c>
      <c r="L16" s="70">
        <f t="shared" si="0"/>
        <v>3640</v>
      </c>
      <c r="M16" s="69">
        <f>$H55</f>
        <v>3778</v>
      </c>
      <c r="N16" s="69">
        <f>$H58</f>
        <v>0</v>
      </c>
      <c r="O16" s="69">
        <f>$H61</f>
        <v>0</v>
      </c>
      <c r="P16" s="71">
        <f t="shared" si="2"/>
        <v>3778</v>
      </c>
      <c r="Q16" s="72">
        <f t="shared" si="3"/>
        <v>2008</v>
      </c>
      <c r="R16" s="73">
        <f t="shared" si="4"/>
        <v>3778</v>
      </c>
      <c r="S16" s="74">
        <v>0</v>
      </c>
      <c r="T16" s="75">
        <v>0</v>
      </c>
      <c r="U16" s="12"/>
    </row>
    <row r="17" spans="1:21" ht="31.5" customHeight="1" x14ac:dyDescent="0.2">
      <c r="A17" s="15">
        <v>4</v>
      </c>
      <c r="B17" s="169" t="s">
        <v>27</v>
      </c>
      <c r="C17" s="175"/>
      <c r="D17" s="175"/>
      <c r="E17" s="170"/>
      <c r="F17" s="17" t="s">
        <v>25</v>
      </c>
      <c r="G17" s="30" t="s">
        <v>29</v>
      </c>
      <c r="H17" s="68">
        <v>125</v>
      </c>
      <c r="I17" s="69">
        <f>$I42</f>
        <v>458</v>
      </c>
      <c r="J17" s="69">
        <f>$I50</f>
        <v>0</v>
      </c>
      <c r="K17" s="69">
        <f>$I53</f>
        <v>55</v>
      </c>
      <c r="L17" s="70">
        <f t="shared" si="0"/>
        <v>513</v>
      </c>
      <c r="M17" s="69">
        <f>$I55</f>
        <v>536</v>
      </c>
      <c r="N17" s="69">
        <f>$I58</f>
        <v>0</v>
      </c>
      <c r="O17" s="69">
        <f>$I61</f>
        <v>0</v>
      </c>
      <c r="P17" s="71">
        <f t="shared" si="2"/>
        <v>536</v>
      </c>
      <c r="Q17" s="72">
        <f t="shared" si="3"/>
        <v>102</v>
      </c>
      <c r="R17" s="73">
        <f t="shared" si="4"/>
        <v>536</v>
      </c>
      <c r="S17" s="74">
        <v>0</v>
      </c>
      <c r="T17" s="75">
        <v>0</v>
      </c>
      <c r="U17" s="12"/>
    </row>
    <row r="18" spans="1:21" ht="32.25" customHeight="1" x14ac:dyDescent="0.25">
      <c r="A18" s="15">
        <v>5</v>
      </c>
      <c r="B18" s="169" t="s">
        <v>28</v>
      </c>
      <c r="C18" s="175"/>
      <c r="D18" s="175"/>
      <c r="E18" s="170"/>
      <c r="F18" s="17" t="s">
        <v>25</v>
      </c>
      <c r="G18" s="30" t="s">
        <v>29</v>
      </c>
      <c r="H18" s="68">
        <f>февраль!Q18</f>
        <v>0</v>
      </c>
      <c r="I18" s="52">
        <f>$J42</f>
        <v>22.5</v>
      </c>
      <c r="J18" s="52">
        <f>$J50</f>
        <v>0</v>
      </c>
      <c r="K18" s="52">
        <f>$J53</f>
        <v>0</v>
      </c>
      <c r="L18" s="53">
        <f t="shared" si="0"/>
        <v>22.5</v>
      </c>
      <c r="M18" s="52">
        <f>$J55</f>
        <v>22.5</v>
      </c>
      <c r="N18" s="52">
        <f>$J58</f>
        <v>0</v>
      </c>
      <c r="O18" s="52">
        <f>$J61</f>
        <v>0</v>
      </c>
      <c r="P18" s="54">
        <f t="shared" si="2"/>
        <v>22.5</v>
      </c>
      <c r="Q18" s="55">
        <f t="shared" si="3"/>
        <v>0</v>
      </c>
      <c r="R18" s="56">
        <f t="shared" si="4"/>
        <v>22.5</v>
      </c>
      <c r="S18" s="74">
        <v>0</v>
      </c>
      <c r="T18" s="75">
        <v>0</v>
      </c>
      <c r="U18" s="11"/>
    </row>
    <row r="19" spans="1:21" ht="30.75" customHeight="1" x14ac:dyDescent="0.2">
      <c r="A19" s="15">
        <v>6</v>
      </c>
      <c r="B19" s="138" t="s">
        <v>137</v>
      </c>
      <c r="C19" s="139"/>
      <c r="D19" s="139"/>
      <c r="E19" s="140"/>
      <c r="F19" s="17" t="s">
        <v>25</v>
      </c>
      <c r="G19" s="30" t="s">
        <v>29</v>
      </c>
      <c r="H19" s="68">
        <f>февраль!Q19</f>
        <v>0</v>
      </c>
      <c r="I19" s="59">
        <f>$L42</f>
        <v>8</v>
      </c>
      <c r="J19" s="59">
        <f>$L50</f>
        <v>0</v>
      </c>
      <c r="K19" s="59">
        <f>$L53</f>
        <v>0</v>
      </c>
      <c r="L19" s="53">
        <f t="shared" si="0"/>
        <v>8</v>
      </c>
      <c r="M19" s="59">
        <f>$L55</f>
        <v>0.4</v>
      </c>
      <c r="N19" s="59">
        <f>$L58</f>
        <v>0</v>
      </c>
      <c r="O19" s="59">
        <f>$L61</f>
        <v>7.6</v>
      </c>
      <c r="P19" s="54">
        <f t="shared" si="2"/>
        <v>8</v>
      </c>
      <c r="Q19" s="55">
        <f t="shared" si="3"/>
        <v>0</v>
      </c>
      <c r="R19" s="56">
        <f t="shared" si="4"/>
        <v>0.4</v>
      </c>
      <c r="S19" s="74">
        <v>0</v>
      </c>
      <c r="T19" s="75">
        <v>0</v>
      </c>
      <c r="U19" s="12"/>
    </row>
    <row r="20" spans="1:21" ht="36" customHeight="1" x14ac:dyDescent="0.2">
      <c r="A20" s="15">
        <v>7</v>
      </c>
      <c r="B20" s="138" t="s">
        <v>184</v>
      </c>
      <c r="C20" s="139"/>
      <c r="D20" s="139"/>
      <c r="E20" s="140"/>
      <c r="F20" s="17" t="s">
        <v>25</v>
      </c>
      <c r="G20" s="30" t="s">
        <v>29</v>
      </c>
      <c r="H20" s="68">
        <f>февраль!Q20</f>
        <v>0</v>
      </c>
      <c r="I20" s="59">
        <f>$Q42</f>
        <v>6</v>
      </c>
      <c r="J20" s="59">
        <f>$Q50</f>
        <v>0</v>
      </c>
      <c r="K20" s="59">
        <f>$Q53</f>
        <v>0</v>
      </c>
      <c r="L20" s="53">
        <f t="shared" si="0"/>
        <v>6</v>
      </c>
      <c r="M20" s="59">
        <f>$Q55</f>
        <v>6</v>
      </c>
      <c r="N20" s="59">
        <f>$Q58</f>
        <v>0</v>
      </c>
      <c r="O20" s="59">
        <f>$Q61</f>
        <v>0</v>
      </c>
      <c r="P20" s="54">
        <f t="shared" si="2"/>
        <v>6</v>
      </c>
      <c r="Q20" s="55">
        <f t="shared" si="3"/>
        <v>0</v>
      </c>
      <c r="R20" s="56">
        <f t="shared" si="4"/>
        <v>6</v>
      </c>
      <c r="S20" s="74">
        <v>0</v>
      </c>
      <c r="T20" s="75">
        <v>0</v>
      </c>
      <c r="U20" s="12"/>
    </row>
    <row r="21" spans="1:21" ht="32.25" customHeight="1" x14ac:dyDescent="0.2">
      <c r="A21" s="15">
        <v>8</v>
      </c>
      <c r="B21" s="138" t="s">
        <v>139</v>
      </c>
      <c r="C21" s="192"/>
      <c r="D21" s="192"/>
      <c r="E21" s="193"/>
      <c r="F21" s="17" t="s">
        <v>25</v>
      </c>
      <c r="G21" s="30" t="s">
        <v>29</v>
      </c>
      <c r="H21" s="68">
        <f>февраль!Q21</f>
        <v>0</v>
      </c>
      <c r="I21" s="59">
        <f>$S42</f>
        <v>1.25</v>
      </c>
      <c r="J21" s="59">
        <f>$S50</f>
        <v>0</v>
      </c>
      <c r="K21" s="59">
        <f>$S53</f>
        <v>0</v>
      </c>
      <c r="L21" s="53">
        <f t="shared" si="0"/>
        <v>1.25</v>
      </c>
      <c r="M21" s="59">
        <f>$S55</f>
        <v>1.25</v>
      </c>
      <c r="N21" s="59">
        <f>$S58</f>
        <v>0</v>
      </c>
      <c r="O21" s="59">
        <f>$S61</f>
        <v>0</v>
      </c>
      <c r="P21" s="54">
        <f t="shared" si="2"/>
        <v>1.25</v>
      </c>
      <c r="Q21" s="55">
        <f t="shared" si="3"/>
        <v>0</v>
      </c>
      <c r="R21" s="56">
        <f t="shared" si="4"/>
        <v>1.25</v>
      </c>
      <c r="S21" s="74">
        <v>0</v>
      </c>
      <c r="T21" s="75">
        <v>0</v>
      </c>
      <c r="U21" s="12"/>
    </row>
    <row r="22" spans="1:21" ht="31.5" customHeight="1" x14ac:dyDescent="0.2">
      <c r="A22" s="15">
        <v>9</v>
      </c>
      <c r="B22" s="138" t="s">
        <v>140</v>
      </c>
      <c r="C22" s="139"/>
      <c r="D22" s="139"/>
      <c r="E22" s="140"/>
      <c r="F22" s="17" t="s">
        <v>25</v>
      </c>
      <c r="G22" s="30" t="s">
        <v>29</v>
      </c>
      <c r="H22" s="68">
        <f>февраль!Q22</f>
        <v>0</v>
      </c>
      <c r="I22" s="60">
        <f>$N42</f>
        <v>0</v>
      </c>
      <c r="J22" s="60">
        <f>$N50</f>
        <v>0</v>
      </c>
      <c r="K22" s="60">
        <f>$N53</f>
        <v>0</v>
      </c>
      <c r="L22" s="53">
        <f t="shared" si="0"/>
        <v>0</v>
      </c>
      <c r="M22" s="60">
        <f>$N55</f>
        <v>0</v>
      </c>
      <c r="N22" s="60">
        <f>$N58</f>
        <v>0</v>
      </c>
      <c r="O22" s="60">
        <f>$N61</f>
        <v>0</v>
      </c>
      <c r="P22" s="54">
        <f t="shared" si="2"/>
        <v>0</v>
      </c>
      <c r="Q22" s="55">
        <f t="shared" si="3"/>
        <v>0</v>
      </c>
      <c r="R22" s="56">
        <f>M22+S22+O22</f>
        <v>0</v>
      </c>
      <c r="S22" s="74">
        <v>0</v>
      </c>
      <c r="T22" s="75">
        <v>0</v>
      </c>
      <c r="U22" s="12"/>
    </row>
    <row r="23" spans="1:21" ht="31.5" customHeight="1" x14ac:dyDescent="0.2">
      <c r="A23" s="15">
        <v>10</v>
      </c>
      <c r="B23" s="138" t="s">
        <v>157</v>
      </c>
      <c r="C23" s="139"/>
      <c r="D23" s="139"/>
      <c r="E23" s="140"/>
      <c r="F23" s="17" t="s">
        <v>25</v>
      </c>
      <c r="G23" s="30" t="s">
        <v>29</v>
      </c>
      <c r="H23" s="68">
        <f>февраль!Q23</f>
        <v>0</v>
      </c>
      <c r="I23" s="60">
        <f>$M42</f>
        <v>9</v>
      </c>
      <c r="J23" s="60">
        <f>$M50</f>
        <v>0</v>
      </c>
      <c r="K23" s="60">
        <f>$M53</f>
        <v>0</v>
      </c>
      <c r="L23" s="53">
        <f t="shared" si="0"/>
        <v>9</v>
      </c>
      <c r="M23" s="60">
        <f>$M55</f>
        <v>9</v>
      </c>
      <c r="N23" s="60">
        <f>$M58</f>
        <v>0</v>
      </c>
      <c r="O23" s="60">
        <f>$M61</f>
        <v>0</v>
      </c>
      <c r="P23" s="54">
        <f t="shared" si="2"/>
        <v>9</v>
      </c>
      <c r="Q23" s="55">
        <f t="shared" si="3"/>
        <v>0</v>
      </c>
      <c r="R23" s="56">
        <f t="shared" ref="R23:R24" si="5">M23+S23+O23</f>
        <v>9</v>
      </c>
      <c r="S23" s="74">
        <v>0</v>
      </c>
      <c r="T23" s="75">
        <v>0</v>
      </c>
      <c r="U23" s="12"/>
    </row>
    <row r="24" spans="1:21" ht="30.75" customHeight="1" x14ac:dyDescent="0.25">
      <c r="A24" s="15">
        <v>11</v>
      </c>
      <c r="B24" s="138" t="s">
        <v>141</v>
      </c>
      <c r="C24" s="139"/>
      <c r="D24" s="139"/>
      <c r="E24" s="140"/>
      <c r="F24" s="17" t="s">
        <v>25</v>
      </c>
      <c r="G24" s="30" t="s">
        <v>29</v>
      </c>
      <c r="H24" s="68">
        <f>февраль!Q24</f>
        <v>0</v>
      </c>
      <c r="I24" s="52">
        <f>$O42</f>
        <v>0.5</v>
      </c>
      <c r="J24" s="52">
        <f>$O50</f>
        <v>0</v>
      </c>
      <c r="K24" s="52">
        <f>$O53</f>
        <v>0</v>
      </c>
      <c r="L24" s="53">
        <f t="shared" si="0"/>
        <v>0.5</v>
      </c>
      <c r="M24" s="52">
        <f>$O55</f>
        <v>0.5</v>
      </c>
      <c r="N24" s="52">
        <f>$O58</f>
        <v>0</v>
      </c>
      <c r="O24" s="52">
        <f>$O61</f>
        <v>0</v>
      </c>
      <c r="P24" s="54">
        <f t="shared" si="2"/>
        <v>0.5</v>
      </c>
      <c r="Q24" s="55">
        <f t="shared" si="3"/>
        <v>0</v>
      </c>
      <c r="R24" s="56">
        <f t="shared" si="5"/>
        <v>0.5</v>
      </c>
      <c r="S24" s="74">
        <v>0</v>
      </c>
      <c r="T24" s="75">
        <v>0</v>
      </c>
      <c r="U24" s="11"/>
    </row>
    <row r="25" spans="1:21" ht="33.75" customHeight="1" x14ac:dyDescent="0.2">
      <c r="A25" s="15">
        <v>12</v>
      </c>
      <c r="B25" s="138" t="s">
        <v>142</v>
      </c>
      <c r="C25" s="192"/>
      <c r="D25" s="192"/>
      <c r="E25" s="193"/>
      <c r="F25" s="17" t="s">
        <v>25</v>
      </c>
      <c r="G25" s="30" t="s">
        <v>29</v>
      </c>
      <c r="H25" s="68">
        <f>февраль!Q25</f>
        <v>0</v>
      </c>
      <c r="I25" s="59">
        <f>$P42</f>
        <v>21</v>
      </c>
      <c r="J25" s="59">
        <f>$P50</f>
        <v>0</v>
      </c>
      <c r="K25" s="59">
        <f>$P53</f>
        <v>0</v>
      </c>
      <c r="L25" s="53">
        <f t="shared" si="0"/>
        <v>21</v>
      </c>
      <c r="M25" s="59">
        <f>$P55</f>
        <v>8</v>
      </c>
      <c r="N25" s="59">
        <f>$P58</f>
        <v>0</v>
      </c>
      <c r="O25" s="59">
        <f>$P61</f>
        <v>13</v>
      </c>
      <c r="P25" s="54">
        <f t="shared" si="2"/>
        <v>21</v>
      </c>
      <c r="Q25" s="55">
        <f t="shared" si="3"/>
        <v>0</v>
      </c>
      <c r="R25" s="56">
        <f t="shared" si="4"/>
        <v>8</v>
      </c>
      <c r="S25" s="74">
        <v>0</v>
      </c>
      <c r="T25" s="75">
        <v>0</v>
      </c>
      <c r="U25" s="6"/>
    </row>
    <row r="26" spans="1:21" ht="28.5" customHeight="1" x14ac:dyDescent="0.25">
      <c r="A26" s="15">
        <v>13</v>
      </c>
      <c r="B26" s="138" t="s">
        <v>143</v>
      </c>
      <c r="C26" s="139"/>
      <c r="D26" s="139"/>
      <c r="E26" s="140"/>
      <c r="F26" s="17" t="s">
        <v>25</v>
      </c>
      <c r="G26" s="30" t="s">
        <v>29</v>
      </c>
      <c r="H26" s="68">
        <f>февраль!Q26</f>
        <v>0</v>
      </c>
      <c r="I26" s="59">
        <f>$R42</f>
        <v>0.9</v>
      </c>
      <c r="J26" s="59">
        <f>$R50</f>
        <v>0</v>
      </c>
      <c r="K26" s="59">
        <f>$R53</f>
        <v>0</v>
      </c>
      <c r="L26" s="53">
        <f t="shared" si="0"/>
        <v>0.9</v>
      </c>
      <c r="M26" s="59">
        <f>$R55</f>
        <v>0.9</v>
      </c>
      <c r="N26" s="59">
        <f>$R58</f>
        <v>0</v>
      </c>
      <c r="O26" s="59">
        <f>$R61</f>
        <v>0</v>
      </c>
      <c r="P26" s="54">
        <f t="shared" si="2"/>
        <v>0.9</v>
      </c>
      <c r="Q26" s="55">
        <f t="shared" si="3"/>
        <v>0</v>
      </c>
      <c r="R26" s="56">
        <f t="shared" si="4"/>
        <v>0.9</v>
      </c>
      <c r="S26" s="74">
        <v>0</v>
      </c>
      <c r="T26" s="75">
        <v>0</v>
      </c>
      <c r="U26" s="11"/>
    </row>
    <row r="27" spans="1:21" ht="28.5" customHeight="1" x14ac:dyDescent="0.25">
      <c r="A27" s="15">
        <v>14</v>
      </c>
      <c r="B27" s="138" t="s">
        <v>181</v>
      </c>
      <c r="C27" s="192"/>
      <c r="D27" s="192"/>
      <c r="E27" s="193"/>
      <c r="F27" s="17" t="s">
        <v>25</v>
      </c>
      <c r="G27" s="30" t="s">
        <v>29</v>
      </c>
      <c r="H27" s="68">
        <v>0</v>
      </c>
      <c r="I27" s="59">
        <f>$K42</f>
        <v>3</v>
      </c>
      <c r="J27" s="59">
        <f>$K50</f>
        <v>0</v>
      </c>
      <c r="K27" s="59">
        <f>$K53</f>
        <v>0</v>
      </c>
      <c r="L27" s="53">
        <f t="shared" si="0"/>
        <v>3</v>
      </c>
      <c r="M27" s="59">
        <f>$K55</f>
        <v>3</v>
      </c>
      <c r="N27" s="59">
        <f>$K58</f>
        <v>0</v>
      </c>
      <c r="O27" s="59">
        <f>$K61</f>
        <v>0</v>
      </c>
      <c r="P27" s="54">
        <f t="shared" si="2"/>
        <v>3</v>
      </c>
      <c r="Q27" s="55">
        <f t="shared" si="3"/>
        <v>0</v>
      </c>
      <c r="R27" s="56">
        <f t="shared" si="4"/>
        <v>3</v>
      </c>
      <c r="S27" s="74">
        <v>0</v>
      </c>
      <c r="T27" s="75">
        <v>0</v>
      </c>
      <c r="U27" s="11"/>
    </row>
    <row r="28" spans="1:21" ht="25.5" customHeight="1" x14ac:dyDescent="0.25">
      <c r="A28" s="15">
        <v>15</v>
      </c>
      <c r="B28" s="169" t="s">
        <v>30</v>
      </c>
      <c r="C28" s="175"/>
      <c r="D28" s="175"/>
      <c r="E28" s="170"/>
      <c r="F28" s="28" t="s">
        <v>25</v>
      </c>
      <c r="G28" s="30" t="s">
        <v>29</v>
      </c>
      <c r="H28" s="68">
        <f>февраль!Q27</f>
        <v>0</v>
      </c>
      <c r="I28" s="61">
        <v>0</v>
      </c>
      <c r="J28" s="57">
        <v>0</v>
      </c>
      <c r="K28" s="57">
        <v>0</v>
      </c>
      <c r="L28" s="62">
        <f>SUM(I28:K28)</f>
        <v>0</v>
      </c>
      <c r="M28" s="61">
        <v>0</v>
      </c>
      <c r="N28" s="61">
        <v>0</v>
      </c>
      <c r="O28" s="61">
        <v>0</v>
      </c>
      <c r="P28" s="54">
        <f t="shared" si="2"/>
        <v>0</v>
      </c>
      <c r="Q28" s="55">
        <f t="shared" si="3"/>
        <v>0</v>
      </c>
      <c r="R28" s="56">
        <f>M28+S28</f>
        <v>0</v>
      </c>
      <c r="S28" s="74">
        <v>0</v>
      </c>
      <c r="T28" s="75">
        <v>0</v>
      </c>
      <c r="U28" s="11"/>
    </row>
    <row r="29" spans="1:21" ht="25.5" customHeight="1" x14ac:dyDescent="0.25">
      <c r="A29" s="15">
        <v>16</v>
      </c>
      <c r="B29" s="169" t="s">
        <v>31</v>
      </c>
      <c r="C29" s="175"/>
      <c r="D29" s="175"/>
      <c r="E29" s="170"/>
      <c r="F29" s="28" t="s">
        <v>25</v>
      </c>
      <c r="G29" s="30" t="s">
        <v>29</v>
      </c>
      <c r="H29" s="51">
        <f>февраль!Q28</f>
        <v>459.1</v>
      </c>
      <c r="I29" s="61">
        <v>0</v>
      </c>
      <c r="J29" s="57">
        <v>0</v>
      </c>
      <c r="K29" s="57">
        <v>0</v>
      </c>
      <c r="L29" s="62">
        <f t="shared" ref="L29:L32" si="6">SUM(I29:K29)</f>
        <v>0</v>
      </c>
      <c r="M29" s="61">
        <v>13.1</v>
      </c>
      <c r="N29" s="61">
        <v>0</v>
      </c>
      <c r="O29" s="61">
        <v>0</v>
      </c>
      <c r="P29" s="64">
        <f t="shared" ref="P29:P33" si="7">SUM(M29:O29)</f>
        <v>13.1</v>
      </c>
      <c r="Q29" s="65">
        <f t="shared" ref="Q29:Q32" si="8">H29+L29-P29</f>
        <v>446</v>
      </c>
      <c r="R29" s="56">
        <f t="shared" ref="R29:R33" si="9">M29+S29</f>
        <v>13.1</v>
      </c>
      <c r="S29" s="74">
        <v>0</v>
      </c>
      <c r="T29" s="75">
        <v>0</v>
      </c>
      <c r="U29" s="11"/>
    </row>
    <row r="30" spans="1:21" ht="25.5" customHeight="1" x14ac:dyDescent="0.25">
      <c r="A30" s="15">
        <v>17</v>
      </c>
      <c r="B30" s="169" t="s">
        <v>32</v>
      </c>
      <c r="C30" s="175"/>
      <c r="D30" s="175"/>
      <c r="E30" s="170"/>
      <c r="F30" s="28" t="s">
        <v>25</v>
      </c>
      <c r="G30" s="30" t="s">
        <v>29</v>
      </c>
      <c r="H30" s="51">
        <f>февраль!Q29</f>
        <v>122.4</v>
      </c>
      <c r="I30" s="61">
        <v>0</v>
      </c>
      <c r="J30" s="57">
        <v>0</v>
      </c>
      <c r="K30" s="57">
        <v>0</v>
      </c>
      <c r="L30" s="62">
        <f t="shared" si="6"/>
        <v>0</v>
      </c>
      <c r="M30" s="61">
        <v>2.6</v>
      </c>
      <c r="N30" s="61">
        <v>0</v>
      </c>
      <c r="O30" s="61">
        <v>0</v>
      </c>
      <c r="P30" s="64">
        <f t="shared" si="7"/>
        <v>2.6</v>
      </c>
      <c r="Q30" s="65">
        <f t="shared" si="8"/>
        <v>119.80000000000001</v>
      </c>
      <c r="R30" s="56">
        <f t="shared" si="9"/>
        <v>2.6</v>
      </c>
      <c r="S30" s="74">
        <v>0</v>
      </c>
      <c r="T30" s="75">
        <v>0</v>
      </c>
      <c r="U30" s="11"/>
    </row>
    <row r="31" spans="1:21" ht="25.5" customHeight="1" x14ac:dyDescent="0.2">
      <c r="A31" s="15">
        <v>18</v>
      </c>
      <c r="B31" s="169" t="s">
        <v>33</v>
      </c>
      <c r="C31" s="175"/>
      <c r="D31" s="175"/>
      <c r="E31" s="170"/>
      <c r="F31" s="28" t="s">
        <v>25</v>
      </c>
      <c r="G31" s="30" t="s">
        <v>29</v>
      </c>
      <c r="H31" s="51">
        <f>февраль!Q30</f>
        <v>58</v>
      </c>
      <c r="I31" s="61">
        <v>0</v>
      </c>
      <c r="J31" s="57">
        <v>0</v>
      </c>
      <c r="K31" s="57">
        <v>0</v>
      </c>
      <c r="L31" s="62">
        <f t="shared" si="6"/>
        <v>0</v>
      </c>
      <c r="M31" s="61">
        <v>1.4</v>
      </c>
      <c r="N31" s="61">
        <v>0</v>
      </c>
      <c r="O31" s="61">
        <v>0</v>
      </c>
      <c r="P31" s="64">
        <f t="shared" si="7"/>
        <v>1.4</v>
      </c>
      <c r="Q31" s="65">
        <f t="shared" si="8"/>
        <v>56.6</v>
      </c>
      <c r="R31" s="56">
        <f t="shared" si="9"/>
        <v>1.4</v>
      </c>
      <c r="S31" s="74">
        <v>0</v>
      </c>
      <c r="T31" s="75">
        <v>0</v>
      </c>
      <c r="U31" s="21"/>
    </row>
    <row r="32" spans="1:21" ht="25.5" customHeight="1" x14ac:dyDescent="0.2">
      <c r="A32" s="15">
        <v>19</v>
      </c>
      <c r="B32" s="169" t="s">
        <v>34</v>
      </c>
      <c r="C32" s="175"/>
      <c r="D32" s="175"/>
      <c r="E32" s="170"/>
      <c r="F32" s="28" t="s">
        <v>25</v>
      </c>
      <c r="G32" s="30" t="s">
        <v>29</v>
      </c>
      <c r="H32" s="51">
        <f>февраль!Q31</f>
        <v>7.1000000000000005</v>
      </c>
      <c r="I32" s="61">
        <v>20</v>
      </c>
      <c r="J32" s="57">
        <v>0</v>
      </c>
      <c r="K32" s="57">
        <v>0</v>
      </c>
      <c r="L32" s="62">
        <f t="shared" si="6"/>
        <v>20</v>
      </c>
      <c r="M32" s="66">
        <v>20.8</v>
      </c>
      <c r="N32" s="61">
        <v>0</v>
      </c>
      <c r="O32" s="61">
        <v>0</v>
      </c>
      <c r="P32" s="64">
        <f t="shared" si="7"/>
        <v>20.8</v>
      </c>
      <c r="Q32" s="65">
        <f t="shared" si="8"/>
        <v>6.3000000000000007</v>
      </c>
      <c r="R32" s="56">
        <f t="shared" si="9"/>
        <v>20.8</v>
      </c>
      <c r="S32" s="74">
        <v>0</v>
      </c>
      <c r="T32" s="75">
        <v>0</v>
      </c>
    </row>
    <row r="33" spans="1:20" ht="25.5" customHeight="1" x14ac:dyDescent="0.2">
      <c r="A33" s="15">
        <v>20</v>
      </c>
      <c r="B33" s="169" t="s">
        <v>35</v>
      </c>
      <c r="C33" s="175"/>
      <c r="D33" s="175"/>
      <c r="E33" s="170"/>
      <c r="F33" s="28" t="s">
        <v>36</v>
      </c>
      <c r="G33" s="30" t="s">
        <v>29</v>
      </c>
      <c r="H33" s="68">
        <f>февраль!Q32</f>
        <v>1</v>
      </c>
      <c r="I33" s="63">
        <v>0</v>
      </c>
      <c r="J33" s="67">
        <v>0</v>
      </c>
      <c r="K33" s="67">
        <v>0</v>
      </c>
      <c r="L33" s="62">
        <f>SUM(I33:K33)</f>
        <v>0</v>
      </c>
      <c r="M33" s="66">
        <v>0</v>
      </c>
      <c r="N33" s="63">
        <v>0</v>
      </c>
      <c r="O33" s="63">
        <v>0</v>
      </c>
      <c r="P33" s="64">
        <f t="shared" si="7"/>
        <v>0</v>
      </c>
      <c r="Q33" s="65">
        <v>1</v>
      </c>
      <c r="R33" s="56">
        <f t="shared" si="9"/>
        <v>0</v>
      </c>
      <c r="S33" s="74">
        <v>0</v>
      </c>
      <c r="T33" s="75">
        <v>0</v>
      </c>
    </row>
    <row r="34" spans="1:20" ht="38.25" customHeight="1" x14ac:dyDescent="0.2">
      <c r="A34" s="208" t="s">
        <v>191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</row>
    <row r="35" spans="1:20" ht="24" customHeight="1" x14ac:dyDescent="0.2">
      <c r="A35" s="178" t="s">
        <v>38</v>
      </c>
      <c r="B35" s="180" t="s">
        <v>39</v>
      </c>
      <c r="C35" s="181"/>
      <c r="D35" s="184" t="s">
        <v>40</v>
      </c>
      <c r="E35" s="180" t="s">
        <v>41</v>
      </c>
      <c r="F35" s="181"/>
      <c r="G35" s="176" t="s">
        <v>149</v>
      </c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37"/>
    </row>
    <row r="36" spans="1:20" ht="115.5" customHeight="1" x14ac:dyDescent="0.2">
      <c r="A36" s="179"/>
      <c r="B36" s="182"/>
      <c r="C36" s="183"/>
      <c r="D36" s="185"/>
      <c r="E36" s="182"/>
      <c r="F36" s="183"/>
      <c r="G36" s="5" t="s">
        <v>42</v>
      </c>
      <c r="H36" s="5" t="s">
        <v>43</v>
      </c>
      <c r="I36" s="8" t="s">
        <v>44</v>
      </c>
      <c r="J36" s="5" t="s">
        <v>45</v>
      </c>
      <c r="K36" s="106" t="s">
        <v>180</v>
      </c>
      <c r="L36" s="8" t="s">
        <v>47</v>
      </c>
      <c r="M36" s="5" t="s">
        <v>48</v>
      </c>
      <c r="N36" s="8" t="s">
        <v>49</v>
      </c>
      <c r="O36" s="5" t="s">
        <v>50</v>
      </c>
      <c r="P36" s="106" t="s">
        <v>158</v>
      </c>
      <c r="Q36" s="117" t="s">
        <v>184</v>
      </c>
      <c r="R36" s="5" t="s">
        <v>53</v>
      </c>
      <c r="S36" s="8" t="s">
        <v>0</v>
      </c>
      <c r="T36" s="5" t="s">
        <v>54</v>
      </c>
    </row>
    <row r="37" spans="1:20" ht="32.25" customHeight="1" x14ac:dyDescent="0.2">
      <c r="A37" s="22">
        <v>6</v>
      </c>
      <c r="B37" s="169" t="s">
        <v>55</v>
      </c>
      <c r="C37" s="170"/>
      <c r="D37" s="2" t="s">
        <v>56</v>
      </c>
      <c r="E37" s="176" t="s">
        <v>183</v>
      </c>
      <c r="F37" s="137"/>
      <c r="G37" s="84">
        <v>4250</v>
      </c>
      <c r="H37" s="84">
        <v>3405</v>
      </c>
      <c r="I37" s="83">
        <v>458</v>
      </c>
      <c r="J37" s="67">
        <v>22.5</v>
      </c>
      <c r="K37" s="58">
        <v>3</v>
      </c>
      <c r="L37" s="58">
        <v>0.4</v>
      </c>
      <c r="M37" s="57">
        <v>9</v>
      </c>
      <c r="N37" s="63">
        <v>0</v>
      </c>
      <c r="O37" s="67">
        <v>0.5</v>
      </c>
      <c r="P37" s="63">
        <v>8</v>
      </c>
      <c r="Q37" s="57">
        <v>6</v>
      </c>
      <c r="R37" s="57">
        <v>0.9</v>
      </c>
      <c r="S37" s="58">
        <v>1.25</v>
      </c>
      <c r="T37" s="57">
        <v>20</v>
      </c>
    </row>
    <row r="38" spans="1:20" ht="15.75" customHeight="1" x14ac:dyDescent="0.2">
      <c r="A38" s="23"/>
      <c r="B38" s="169" t="s">
        <v>55</v>
      </c>
      <c r="C38" s="170"/>
      <c r="D38" s="2" t="s">
        <v>58</v>
      </c>
      <c r="E38" s="136">
        <v>207</v>
      </c>
      <c r="F38" s="137"/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6.5</v>
      </c>
      <c r="Q38" s="57">
        <v>0</v>
      </c>
      <c r="R38" s="57">
        <v>0</v>
      </c>
      <c r="S38" s="58">
        <v>0</v>
      </c>
      <c r="T38" s="57">
        <v>0</v>
      </c>
    </row>
    <row r="39" spans="1:20" ht="15.75" customHeight="1" x14ac:dyDescent="0.2">
      <c r="A39" s="23"/>
      <c r="B39" s="37"/>
      <c r="C39" s="36"/>
      <c r="D39" s="2" t="s">
        <v>58</v>
      </c>
      <c r="E39" s="136">
        <v>233</v>
      </c>
      <c r="F39" s="137"/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7.6</v>
      </c>
      <c r="M39" s="63">
        <v>0</v>
      </c>
      <c r="N39" s="63">
        <v>0</v>
      </c>
      <c r="O39" s="63">
        <v>0</v>
      </c>
      <c r="P39" s="63">
        <v>0</v>
      </c>
      <c r="Q39" s="57">
        <v>0</v>
      </c>
      <c r="R39" s="57">
        <v>0</v>
      </c>
      <c r="S39" s="58">
        <v>0</v>
      </c>
      <c r="T39" s="57">
        <v>0</v>
      </c>
    </row>
    <row r="40" spans="1:20" ht="15.75" customHeight="1" x14ac:dyDescent="0.2">
      <c r="A40" s="23"/>
      <c r="B40" s="37"/>
      <c r="C40" s="36"/>
      <c r="D40" s="2" t="s">
        <v>58</v>
      </c>
      <c r="E40" s="136">
        <v>249</v>
      </c>
      <c r="F40" s="137"/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6.5</v>
      </c>
      <c r="Q40" s="57">
        <v>0</v>
      </c>
      <c r="R40" s="57">
        <v>0</v>
      </c>
      <c r="S40" s="58">
        <v>0</v>
      </c>
      <c r="T40" s="57">
        <v>0</v>
      </c>
    </row>
    <row r="41" spans="1:20" ht="15.75" customHeight="1" x14ac:dyDescent="0.2">
      <c r="A41" s="24"/>
      <c r="B41" s="169" t="s">
        <v>55</v>
      </c>
      <c r="C41" s="170"/>
      <c r="D41" s="2" t="s">
        <v>58</v>
      </c>
      <c r="E41" s="136"/>
      <c r="F41" s="137"/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57">
        <v>0</v>
      </c>
      <c r="R41" s="57">
        <v>0</v>
      </c>
      <c r="S41" s="58">
        <v>0</v>
      </c>
      <c r="T41" s="57">
        <v>0</v>
      </c>
    </row>
    <row r="42" spans="1:20" ht="21.75" customHeight="1" x14ac:dyDescent="0.2">
      <c r="A42" s="142" t="s">
        <v>59</v>
      </c>
      <c r="B42" s="143"/>
      <c r="C42" s="143"/>
      <c r="D42" s="143"/>
      <c r="E42" s="143"/>
      <c r="F42" s="144"/>
      <c r="G42" s="96">
        <f t="shared" ref="G42:T42" si="10">SUM(G37:G41)</f>
        <v>4250</v>
      </c>
      <c r="H42" s="96">
        <f t="shared" si="10"/>
        <v>3405</v>
      </c>
      <c r="I42" s="96">
        <f t="shared" si="10"/>
        <v>458</v>
      </c>
      <c r="J42" s="85">
        <f t="shared" si="10"/>
        <v>22.5</v>
      </c>
      <c r="K42" s="85">
        <f t="shared" si="10"/>
        <v>3</v>
      </c>
      <c r="L42" s="85">
        <f t="shared" si="10"/>
        <v>8</v>
      </c>
      <c r="M42" s="85">
        <f t="shared" si="10"/>
        <v>9</v>
      </c>
      <c r="N42" s="85">
        <f t="shared" si="10"/>
        <v>0</v>
      </c>
      <c r="O42" s="85">
        <f t="shared" si="10"/>
        <v>0.5</v>
      </c>
      <c r="P42" s="85">
        <f t="shared" si="10"/>
        <v>21</v>
      </c>
      <c r="Q42" s="85">
        <f t="shared" si="10"/>
        <v>6</v>
      </c>
      <c r="R42" s="85">
        <f t="shared" si="10"/>
        <v>0.9</v>
      </c>
      <c r="S42" s="85">
        <f t="shared" si="10"/>
        <v>1.25</v>
      </c>
      <c r="T42" s="85">
        <f t="shared" si="10"/>
        <v>20</v>
      </c>
    </row>
    <row r="43" spans="1:20" ht="15.75" customHeight="1" x14ac:dyDescent="0.25">
      <c r="A43" s="22">
        <v>7</v>
      </c>
      <c r="B43" s="149" t="s">
        <v>159</v>
      </c>
      <c r="C43" s="146"/>
      <c r="D43" s="2" t="s">
        <v>58</v>
      </c>
      <c r="E43" s="141"/>
      <c r="F43" s="131"/>
      <c r="G43" s="97"/>
      <c r="H43" s="98">
        <f>150+36</f>
        <v>186</v>
      </c>
      <c r="I43" s="99" t="s">
        <v>29</v>
      </c>
      <c r="J43" s="87" t="s">
        <v>29</v>
      </c>
      <c r="K43" s="88" t="s">
        <v>29</v>
      </c>
      <c r="L43" s="88" t="s">
        <v>29</v>
      </c>
      <c r="M43" s="87" t="s">
        <v>29</v>
      </c>
      <c r="N43" s="88" t="s">
        <v>29</v>
      </c>
      <c r="O43" s="87" t="s">
        <v>29</v>
      </c>
      <c r="P43" s="88" t="s">
        <v>29</v>
      </c>
      <c r="Q43" s="87" t="s">
        <v>29</v>
      </c>
      <c r="R43" s="87" t="s">
        <v>29</v>
      </c>
      <c r="S43" s="88" t="s">
        <v>29</v>
      </c>
      <c r="T43" s="87" t="s">
        <v>29</v>
      </c>
    </row>
    <row r="44" spans="1:20" ht="15.75" customHeight="1" x14ac:dyDescent="0.25">
      <c r="A44" s="23"/>
      <c r="B44" s="147" t="s">
        <v>189</v>
      </c>
      <c r="C44" s="148"/>
      <c r="D44" s="2" t="s">
        <v>58</v>
      </c>
      <c r="E44" s="141"/>
      <c r="F44" s="131"/>
      <c r="G44" s="97">
        <v>48</v>
      </c>
      <c r="H44" s="98"/>
      <c r="I44" s="99"/>
      <c r="J44" s="87"/>
      <c r="K44" s="88"/>
      <c r="L44" s="88"/>
      <c r="M44" s="87"/>
      <c r="N44" s="88"/>
      <c r="O44" s="87"/>
      <c r="P44" s="88"/>
      <c r="Q44" s="87"/>
      <c r="R44" s="87"/>
      <c r="S44" s="88"/>
      <c r="T44" s="87"/>
    </row>
    <row r="45" spans="1:20" ht="15.75" customHeight="1" x14ac:dyDescent="0.25">
      <c r="A45" s="23"/>
      <c r="B45" s="147" t="s">
        <v>187</v>
      </c>
      <c r="C45" s="148"/>
      <c r="D45" s="2" t="s">
        <v>58</v>
      </c>
      <c r="E45" s="141"/>
      <c r="F45" s="131"/>
      <c r="G45" s="97">
        <v>118</v>
      </c>
      <c r="H45" s="98">
        <v>0</v>
      </c>
      <c r="I45" s="99" t="s">
        <v>29</v>
      </c>
      <c r="J45" s="87" t="s">
        <v>29</v>
      </c>
      <c r="K45" s="88" t="s">
        <v>29</v>
      </c>
      <c r="L45" s="88" t="s">
        <v>29</v>
      </c>
      <c r="M45" s="87" t="s">
        <v>29</v>
      </c>
      <c r="N45" s="88" t="s">
        <v>29</v>
      </c>
      <c r="O45" s="87" t="s">
        <v>29</v>
      </c>
      <c r="P45" s="88" t="s">
        <v>29</v>
      </c>
      <c r="Q45" s="87" t="s">
        <v>29</v>
      </c>
      <c r="R45" s="87" t="s">
        <v>29</v>
      </c>
      <c r="S45" s="88" t="s">
        <v>29</v>
      </c>
      <c r="T45" s="87" t="s">
        <v>29</v>
      </c>
    </row>
    <row r="46" spans="1:20" ht="15.75" customHeight="1" x14ac:dyDescent="0.25">
      <c r="A46" s="23"/>
      <c r="B46" s="147" t="s">
        <v>161</v>
      </c>
      <c r="C46" s="148"/>
      <c r="D46" s="2" t="s">
        <v>58</v>
      </c>
      <c r="E46" s="141"/>
      <c r="F46" s="131"/>
      <c r="G46" s="97">
        <v>36</v>
      </c>
      <c r="H46" s="98" t="s">
        <v>29</v>
      </c>
      <c r="I46" s="99" t="s">
        <v>29</v>
      </c>
      <c r="J46" s="87" t="s">
        <v>29</v>
      </c>
      <c r="K46" s="88" t="s">
        <v>29</v>
      </c>
      <c r="L46" s="88" t="s">
        <v>29</v>
      </c>
      <c r="M46" s="87" t="s">
        <v>29</v>
      </c>
      <c r="N46" s="88" t="s">
        <v>29</v>
      </c>
      <c r="O46" s="87" t="s">
        <v>29</v>
      </c>
      <c r="P46" s="88" t="s">
        <v>29</v>
      </c>
      <c r="Q46" s="87" t="s">
        <v>29</v>
      </c>
      <c r="R46" s="87" t="s">
        <v>29</v>
      </c>
      <c r="S46" s="88" t="s">
        <v>29</v>
      </c>
      <c r="T46" s="87" t="s">
        <v>29</v>
      </c>
    </row>
    <row r="47" spans="1:20" ht="15.75" customHeight="1" x14ac:dyDescent="0.25">
      <c r="A47" s="23"/>
      <c r="B47" s="147" t="s">
        <v>162</v>
      </c>
      <c r="C47" s="148"/>
      <c r="D47" s="2" t="s">
        <v>58</v>
      </c>
      <c r="E47" s="141"/>
      <c r="F47" s="131"/>
      <c r="G47" s="100"/>
      <c r="H47" s="98" t="s">
        <v>29</v>
      </c>
      <c r="I47" s="99" t="s">
        <v>29</v>
      </c>
      <c r="J47" s="87" t="s">
        <v>29</v>
      </c>
      <c r="K47" s="88" t="s">
        <v>29</v>
      </c>
      <c r="L47" s="88" t="s">
        <v>29</v>
      </c>
      <c r="M47" s="87" t="s">
        <v>29</v>
      </c>
      <c r="N47" s="88" t="s">
        <v>29</v>
      </c>
      <c r="O47" s="87" t="s">
        <v>29</v>
      </c>
      <c r="P47" s="88" t="s">
        <v>29</v>
      </c>
      <c r="Q47" s="87" t="s">
        <v>29</v>
      </c>
      <c r="R47" s="87" t="s">
        <v>29</v>
      </c>
      <c r="S47" s="88" t="s">
        <v>29</v>
      </c>
      <c r="T47" s="87" t="s">
        <v>29</v>
      </c>
    </row>
    <row r="48" spans="1:20" ht="15.75" customHeight="1" x14ac:dyDescent="0.25">
      <c r="A48" s="23"/>
      <c r="B48" s="149" t="s">
        <v>188</v>
      </c>
      <c r="C48" s="150"/>
      <c r="D48" s="2" t="s">
        <v>58</v>
      </c>
      <c r="E48" s="141">
        <v>197</v>
      </c>
      <c r="F48" s="131"/>
      <c r="G48" s="97">
        <f>44+70</f>
        <v>114</v>
      </c>
      <c r="H48" s="98" t="s">
        <v>29</v>
      </c>
      <c r="I48" s="99" t="s">
        <v>29</v>
      </c>
      <c r="J48" s="87" t="s">
        <v>29</v>
      </c>
      <c r="K48" s="88" t="s">
        <v>29</v>
      </c>
      <c r="L48" s="88" t="s">
        <v>29</v>
      </c>
      <c r="M48" s="87" t="s">
        <v>29</v>
      </c>
      <c r="N48" s="88" t="s">
        <v>29</v>
      </c>
      <c r="O48" s="87" t="s">
        <v>29</v>
      </c>
      <c r="P48" s="88" t="s">
        <v>29</v>
      </c>
      <c r="Q48" s="87" t="s">
        <v>29</v>
      </c>
      <c r="R48" s="87" t="s">
        <v>29</v>
      </c>
      <c r="S48" s="88" t="s">
        <v>29</v>
      </c>
      <c r="T48" s="87" t="s">
        <v>29</v>
      </c>
    </row>
    <row r="49" spans="1:20" ht="15.75" customHeight="1" x14ac:dyDescent="0.25">
      <c r="A49" s="24"/>
      <c r="B49" s="149" t="s">
        <v>160</v>
      </c>
      <c r="C49" s="150"/>
      <c r="D49" s="2" t="s">
        <v>58</v>
      </c>
      <c r="E49" s="141"/>
      <c r="F49" s="131"/>
      <c r="G49" s="97"/>
      <c r="H49" s="98">
        <v>49</v>
      </c>
      <c r="I49" s="99" t="s">
        <v>29</v>
      </c>
      <c r="J49" s="87" t="s">
        <v>29</v>
      </c>
      <c r="K49" s="88" t="s">
        <v>29</v>
      </c>
      <c r="L49" s="88" t="s">
        <v>29</v>
      </c>
      <c r="M49" s="87" t="s">
        <v>29</v>
      </c>
      <c r="N49" s="88" t="s">
        <v>29</v>
      </c>
      <c r="O49" s="87" t="s">
        <v>29</v>
      </c>
      <c r="P49" s="88" t="s">
        <v>29</v>
      </c>
      <c r="Q49" s="87" t="s">
        <v>29</v>
      </c>
      <c r="R49" s="87" t="s">
        <v>29</v>
      </c>
      <c r="S49" s="88" t="s">
        <v>29</v>
      </c>
      <c r="T49" s="87" t="s">
        <v>29</v>
      </c>
    </row>
    <row r="50" spans="1:20" ht="21.75" customHeight="1" x14ac:dyDescent="0.2">
      <c r="A50" s="142" t="s">
        <v>62</v>
      </c>
      <c r="B50" s="216"/>
      <c r="C50" s="216"/>
      <c r="D50" s="216"/>
      <c r="E50" s="216"/>
      <c r="F50" s="217"/>
      <c r="G50" s="96">
        <f>SUM(G43:G49)</f>
        <v>316</v>
      </c>
      <c r="H50" s="96">
        <f t="shared" ref="H50:T50" si="11">SUM(H43:H49)</f>
        <v>235</v>
      </c>
      <c r="I50" s="96">
        <f t="shared" si="11"/>
        <v>0</v>
      </c>
      <c r="J50" s="85">
        <f t="shared" si="11"/>
        <v>0</v>
      </c>
      <c r="K50" s="85">
        <f t="shared" si="11"/>
        <v>0</v>
      </c>
      <c r="L50" s="85">
        <f t="shared" si="11"/>
        <v>0</v>
      </c>
      <c r="M50" s="85">
        <f t="shared" si="11"/>
        <v>0</v>
      </c>
      <c r="N50" s="85">
        <f t="shared" si="11"/>
        <v>0</v>
      </c>
      <c r="O50" s="85">
        <f t="shared" si="11"/>
        <v>0</v>
      </c>
      <c r="P50" s="85">
        <f t="shared" si="11"/>
        <v>0</v>
      </c>
      <c r="Q50" s="85">
        <f t="shared" si="11"/>
        <v>0</v>
      </c>
      <c r="R50" s="85">
        <f t="shared" si="11"/>
        <v>0</v>
      </c>
      <c r="S50" s="85">
        <f t="shared" si="11"/>
        <v>0</v>
      </c>
      <c r="T50" s="85">
        <f t="shared" si="11"/>
        <v>0</v>
      </c>
    </row>
    <row r="51" spans="1:20" ht="15.75" customHeight="1" x14ac:dyDescent="0.25">
      <c r="A51" s="16">
        <v>8</v>
      </c>
      <c r="B51" s="218" t="s">
        <v>185</v>
      </c>
      <c r="C51" s="219"/>
      <c r="D51" s="119" t="s">
        <v>64</v>
      </c>
      <c r="E51" s="220">
        <v>6183912</v>
      </c>
      <c r="F51" s="220"/>
      <c r="G51" s="118">
        <v>0</v>
      </c>
      <c r="H51" s="78">
        <v>0</v>
      </c>
      <c r="I51" s="79">
        <v>30</v>
      </c>
      <c r="J51" s="79">
        <v>0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  <c r="Q51" s="79">
        <v>0</v>
      </c>
      <c r="R51" s="79">
        <v>0</v>
      </c>
      <c r="S51" s="79">
        <v>0</v>
      </c>
      <c r="T51" s="79">
        <v>0</v>
      </c>
    </row>
    <row r="52" spans="1:20" ht="15.75" customHeight="1" x14ac:dyDescent="0.25">
      <c r="A52" s="16"/>
      <c r="B52" s="218" t="s">
        <v>186</v>
      </c>
      <c r="C52" s="219"/>
      <c r="D52" s="119" t="s">
        <v>64</v>
      </c>
      <c r="E52" s="220">
        <v>667676</v>
      </c>
      <c r="F52" s="220"/>
      <c r="G52" s="118">
        <v>0</v>
      </c>
      <c r="H52" s="78">
        <v>0</v>
      </c>
      <c r="I52" s="79">
        <v>25</v>
      </c>
      <c r="J52" s="79">
        <v>0</v>
      </c>
      <c r="K52" s="79">
        <v>0</v>
      </c>
      <c r="L52" s="79">
        <v>0</v>
      </c>
      <c r="M52" s="79">
        <v>0</v>
      </c>
      <c r="N52" s="79">
        <v>0</v>
      </c>
      <c r="O52" s="79">
        <v>0</v>
      </c>
      <c r="P52" s="79">
        <v>0</v>
      </c>
      <c r="Q52" s="79">
        <v>0</v>
      </c>
      <c r="R52" s="79">
        <v>0</v>
      </c>
      <c r="S52" s="79">
        <v>0</v>
      </c>
      <c r="T52" s="79">
        <v>0</v>
      </c>
    </row>
    <row r="53" spans="1:20" ht="15.75" customHeight="1" x14ac:dyDescent="0.2">
      <c r="A53" s="142" t="s">
        <v>65</v>
      </c>
      <c r="B53" s="206"/>
      <c r="C53" s="206"/>
      <c r="D53" s="206"/>
      <c r="E53" s="206"/>
      <c r="F53" s="207"/>
      <c r="G53" s="101">
        <f>SUM(G51:G52)</f>
        <v>0</v>
      </c>
      <c r="H53" s="101">
        <f t="shared" ref="H53:T53" si="12">SUM(H51:H52)</f>
        <v>0</v>
      </c>
      <c r="I53" s="101">
        <f t="shared" si="12"/>
        <v>55</v>
      </c>
      <c r="J53" s="89">
        <f t="shared" si="12"/>
        <v>0</v>
      </c>
      <c r="K53" s="89">
        <f t="shared" si="12"/>
        <v>0</v>
      </c>
      <c r="L53" s="89">
        <f t="shared" si="12"/>
        <v>0</v>
      </c>
      <c r="M53" s="89">
        <f t="shared" si="12"/>
        <v>0</v>
      </c>
      <c r="N53" s="89">
        <f t="shared" si="12"/>
        <v>0</v>
      </c>
      <c r="O53" s="89">
        <f t="shared" si="12"/>
        <v>0</v>
      </c>
      <c r="P53" s="89">
        <f t="shared" si="12"/>
        <v>0</v>
      </c>
      <c r="Q53" s="89">
        <f t="shared" si="12"/>
        <v>0</v>
      </c>
      <c r="R53" s="89">
        <f t="shared" si="12"/>
        <v>0</v>
      </c>
      <c r="S53" s="89">
        <f t="shared" si="12"/>
        <v>0</v>
      </c>
      <c r="T53" s="89">
        <f t="shared" si="12"/>
        <v>0</v>
      </c>
    </row>
    <row r="54" spans="1:20" ht="224.25" customHeight="1" x14ac:dyDescent="0.2">
      <c r="A54" s="25">
        <v>10</v>
      </c>
      <c r="B54" s="173" t="s">
        <v>66</v>
      </c>
      <c r="C54" s="174"/>
      <c r="D54" s="26" t="s">
        <v>67</v>
      </c>
      <c r="E54" s="171" t="s">
        <v>144</v>
      </c>
      <c r="F54" s="172"/>
      <c r="G54" s="102">
        <f>G103</f>
        <v>4095</v>
      </c>
      <c r="H54" s="102">
        <f t="shared" ref="H54:T54" si="13">H103</f>
        <v>3778</v>
      </c>
      <c r="I54" s="102">
        <f t="shared" si="13"/>
        <v>536</v>
      </c>
      <c r="J54" s="90">
        <f t="shared" si="13"/>
        <v>22.5</v>
      </c>
      <c r="K54" s="90">
        <f t="shared" si="13"/>
        <v>3</v>
      </c>
      <c r="L54" s="90">
        <f t="shared" si="13"/>
        <v>0.4</v>
      </c>
      <c r="M54" s="90">
        <f>M103</f>
        <v>9</v>
      </c>
      <c r="N54" s="90">
        <f t="shared" si="13"/>
        <v>0</v>
      </c>
      <c r="O54" s="90">
        <f t="shared" si="13"/>
        <v>0.5</v>
      </c>
      <c r="P54" s="90">
        <f t="shared" si="13"/>
        <v>8</v>
      </c>
      <c r="Q54" s="90">
        <f t="shared" si="13"/>
        <v>6</v>
      </c>
      <c r="R54" s="90">
        <f t="shared" si="13"/>
        <v>0.9</v>
      </c>
      <c r="S54" s="90">
        <f t="shared" si="13"/>
        <v>1.25</v>
      </c>
      <c r="T54" s="90">
        <f t="shared" si="13"/>
        <v>20.8</v>
      </c>
    </row>
    <row r="55" spans="1:20" ht="14.25" customHeight="1" x14ac:dyDescent="0.2">
      <c r="A55" s="142" t="s">
        <v>68</v>
      </c>
      <c r="B55" s="143"/>
      <c r="C55" s="143"/>
      <c r="D55" s="143"/>
      <c r="E55" s="143"/>
      <c r="F55" s="144"/>
      <c r="G55" s="96">
        <f>G54</f>
        <v>4095</v>
      </c>
      <c r="H55" s="96">
        <f t="shared" ref="H55:T55" si="14">H54</f>
        <v>3778</v>
      </c>
      <c r="I55" s="96">
        <f t="shared" si="14"/>
        <v>536</v>
      </c>
      <c r="J55" s="85">
        <f>J54</f>
        <v>22.5</v>
      </c>
      <c r="K55" s="85">
        <f t="shared" si="14"/>
        <v>3</v>
      </c>
      <c r="L55" s="85">
        <f t="shared" si="14"/>
        <v>0.4</v>
      </c>
      <c r="M55" s="85">
        <f t="shared" si="14"/>
        <v>9</v>
      </c>
      <c r="N55" s="85">
        <f t="shared" si="14"/>
        <v>0</v>
      </c>
      <c r="O55" s="85">
        <f t="shared" si="14"/>
        <v>0.5</v>
      </c>
      <c r="P55" s="85">
        <f t="shared" si="14"/>
        <v>8</v>
      </c>
      <c r="Q55" s="85">
        <f t="shared" si="14"/>
        <v>6</v>
      </c>
      <c r="R55" s="85">
        <f t="shared" si="14"/>
        <v>0.9</v>
      </c>
      <c r="S55" s="85">
        <f t="shared" si="14"/>
        <v>1.25</v>
      </c>
      <c r="T55" s="85">
        <f t="shared" si="14"/>
        <v>20.8</v>
      </c>
    </row>
    <row r="56" spans="1:20" ht="15.75" customHeight="1" x14ac:dyDescent="0.2">
      <c r="A56" s="134">
        <v>11</v>
      </c>
      <c r="B56" s="203"/>
      <c r="C56" s="204"/>
      <c r="D56" s="44" t="s">
        <v>29</v>
      </c>
      <c r="E56" s="205" t="s">
        <v>29</v>
      </c>
      <c r="F56" s="204"/>
      <c r="G56" s="78">
        <v>147</v>
      </c>
      <c r="H56" s="78" t="s">
        <v>29</v>
      </c>
      <c r="I56" s="79" t="s">
        <v>29</v>
      </c>
      <c r="J56" s="57" t="s">
        <v>29</v>
      </c>
      <c r="K56" s="58" t="s">
        <v>29</v>
      </c>
      <c r="L56" s="58" t="s">
        <v>29</v>
      </c>
      <c r="M56" s="57" t="s">
        <v>29</v>
      </c>
      <c r="N56" s="58" t="s">
        <v>29</v>
      </c>
      <c r="O56" s="57" t="s">
        <v>29</v>
      </c>
      <c r="P56" s="58" t="s">
        <v>29</v>
      </c>
      <c r="Q56" s="57" t="s">
        <v>29</v>
      </c>
      <c r="R56" s="57" t="s">
        <v>29</v>
      </c>
      <c r="S56" s="58" t="s">
        <v>29</v>
      </c>
      <c r="T56" s="57" t="s">
        <v>29</v>
      </c>
    </row>
    <row r="57" spans="1:20" ht="15.75" customHeight="1" x14ac:dyDescent="0.2">
      <c r="A57" s="135"/>
      <c r="B57" s="132"/>
      <c r="C57" s="132"/>
      <c r="D57" s="45"/>
      <c r="E57" s="133"/>
      <c r="F57" s="133"/>
      <c r="G57" s="78">
        <v>0</v>
      </c>
      <c r="H57" s="78" t="s">
        <v>29</v>
      </c>
      <c r="I57" s="79" t="s">
        <v>29</v>
      </c>
      <c r="J57" s="57" t="s">
        <v>29</v>
      </c>
      <c r="K57" s="58" t="s">
        <v>29</v>
      </c>
      <c r="L57" s="58" t="s">
        <v>29</v>
      </c>
      <c r="M57" s="57" t="s">
        <v>29</v>
      </c>
      <c r="N57" s="58" t="s">
        <v>29</v>
      </c>
      <c r="O57" s="57" t="s">
        <v>29</v>
      </c>
      <c r="P57" s="58" t="s">
        <v>29</v>
      </c>
      <c r="Q57" s="57" t="s">
        <v>29</v>
      </c>
      <c r="R57" s="57" t="s">
        <v>29</v>
      </c>
      <c r="S57" s="58" t="s">
        <v>29</v>
      </c>
      <c r="T57" s="57" t="s">
        <v>29</v>
      </c>
    </row>
    <row r="58" spans="1:20" ht="15.75" customHeight="1" x14ac:dyDescent="0.2">
      <c r="A58" s="142" t="s">
        <v>69</v>
      </c>
      <c r="B58" s="206"/>
      <c r="C58" s="206"/>
      <c r="D58" s="206"/>
      <c r="E58" s="206"/>
      <c r="F58" s="207"/>
      <c r="G58" s="101">
        <f>SUM(G56:G57)</f>
        <v>147</v>
      </c>
      <c r="H58" s="101">
        <f t="shared" ref="H58:T58" si="15">SUM(H56:H57)</f>
        <v>0</v>
      </c>
      <c r="I58" s="101">
        <f t="shared" si="15"/>
        <v>0</v>
      </c>
      <c r="J58" s="89">
        <f t="shared" si="15"/>
        <v>0</v>
      </c>
      <c r="K58" s="89">
        <f t="shared" si="15"/>
        <v>0</v>
      </c>
      <c r="L58" s="89">
        <f t="shared" si="15"/>
        <v>0</v>
      </c>
      <c r="M58" s="89">
        <f t="shared" si="15"/>
        <v>0</v>
      </c>
      <c r="N58" s="89">
        <f t="shared" si="15"/>
        <v>0</v>
      </c>
      <c r="O58" s="89">
        <f t="shared" si="15"/>
        <v>0</v>
      </c>
      <c r="P58" s="89">
        <f t="shared" si="15"/>
        <v>0</v>
      </c>
      <c r="Q58" s="89">
        <f t="shared" si="15"/>
        <v>0</v>
      </c>
      <c r="R58" s="89">
        <f t="shared" si="15"/>
        <v>0</v>
      </c>
      <c r="S58" s="89">
        <f t="shared" si="15"/>
        <v>0</v>
      </c>
      <c r="T58" s="89">
        <f t="shared" si="15"/>
        <v>0</v>
      </c>
    </row>
    <row r="59" spans="1:20" ht="22.5" customHeight="1" x14ac:dyDescent="0.25">
      <c r="A59" s="190">
        <v>12</v>
      </c>
      <c r="B59" s="169" t="s">
        <v>70</v>
      </c>
      <c r="C59" s="170"/>
      <c r="D59" s="2" t="s">
        <v>71</v>
      </c>
      <c r="E59" s="141"/>
      <c r="F59" s="131"/>
      <c r="G59" s="78" t="s">
        <v>29</v>
      </c>
      <c r="H59" s="78" t="s">
        <v>29</v>
      </c>
      <c r="I59" s="79" t="s">
        <v>29</v>
      </c>
      <c r="J59" s="57" t="s">
        <v>29</v>
      </c>
      <c r="K59" s="58">
        <v>0</v>
      </c>
      <c r="L59" s="58">
        <v>7.6</v>
      </c>
      <c r="M59" s="57" t="s">
        <v>29</v>
      </c>
      <c r="N59" s="58">
        <v>0</v>
      </c>
      <c r="O59" s="57">
        <v>0</v>
      </c>
      <c r="P59" s="58">
        <v>13</v>
      </c>
      <c r="Q59" s="57" t="s">
        <v>29</v>
      </c>
      <c r="R59" s="57" t="s">
        <v>29</v>
      </c>
      <c r="S59" s="58" t="s">
        <v>29</v>
      </c>
      <c r="T59" s="57" t="s">
        <v>29</v>
      </c>
    </row>
    <row r="60" spans="1:20" ht="18.75" customHeight="1" x14ac:dyDescent="0.2">
      <c r="A60" s="191"/>
      <c r="B60" s="138" t="s">
        <v>163</v>
      </c>
      <c r="C60" s="170"/>
      <c r="D60" s="107" t="s">
        <v>164</v>
      </c>
      <c r="E60" s="136" t="s">
        <v>29</v>
      </c>
      <c r="F60" s="137"/>
      <c r="G60" s="78">
        <v>0</v>
      </c>
      <c r="H60" s="78" t="s">
        <v>29</v>
      </c>
      <c r="I60" s="79" t="s">
        <v>29</v>
      </c>
      <c r="J60" s="57" t="s">
        <v>29</v>
      </c>
      <c r="K60" s="58" t="s">
        <v>29</v>
      </c>
      <c r="L60" s="58" t="s">
        <v>29</v>
      </c>
      <c r="M60" s="57" t="s">
        <v>29</v>
      </c>
      <c r="N60" s="58" t="s">
        <v>29</v>
      </c>
      <c r="O60" s="57" t="s">
        <v>29</v>
      </c>
      <c r="P60" s="58" t="s">
        <v>29</v>
      </c>
      <c r="Q60" s="57" t="s">
        <v>29</v>
      </c>
      <c r="R60" s="57" t="s">
        <v>29</v>
      </c>
      <c r="S60" s="58" t="s">
        <v>29</v>
      </c>
      <c r="T60" s="57" t="s">
        <v>29</v>
      </c>
    </row>
    <row r="61" spans="1:20" ht="15.75" customHeight="1" x14ac:dyDescent="0.2">
      <c r="A61" s="142" t="s">
        <v>73</v>
      </c>
      <c r="B61" s="143"/>
      <c r="C61" s="143"/>
      <c r="D61" s="143"/>
      <c r="E61" s="143"/>
      <c r="F61" s="144"/>
      <c r="G61" s="101">
        <f>SUM(G59:G60)</f>
        <v>0</v>
      </c>
      <c r="H61" s="101">
        <f t="shared" ref="H61:T61" si="16">SUM(H59:H60)</f>
        <v>0</v>
      </c>
      <c r="I61" s="101">
        <f t="shared" si="16"/>
        <v>0</v>
      </c>
      <c r="J61" s="89">
        <f t="shared" si="16"/>
        <v>0</v>
      </c>
      <c r="K61" s="89">
        <f t="shared" si="16"/>
        <v>0</v>
      </c>
      <c r="L61" s="89">
        <f t="shared" si="16"/>
        <v>7.6</v>
      </c>
      <c r="M61" s="89">
        <f t="shared" si="16"/>
        <v>0</v>
      </c>
      <c r="N61" s="89">
        <f t="shared" si="16"/>
        <v>0</v>
      </c>
      <c r="O61" s="89">
        <f t="shared" si="16"/>
        <v>0</v>
      </c>
      <c r="P61" s="89">
        <f t="shared" si="16"/>
        <v>13</v>
      </c>
      <c r="Q61" s="89">
        <f t="shared" si="16"/>
        <v>0</v>
      </c>
      <c r="R61" s="89">
        <f t="shared" si="16"/>
        <v>0</v>
      </c>
      <c r="S61" s="89">
        <f t="shared" si="16"/>
        <v>0</v>
      </c>
      <c r="T61" s="89">
        <f t="shared" si="16"/>
        <v>0</v>
      </c>
    </row>
    <row r="62" spans="1:20" ht="26.25" customHeight="1" x14ac:dyDescent="0.2">
      <c r="A62" s="188" t="s">
        <v>10</v>
      </c>
      <c r="B62" s="184" t="s">
        <v>74</v>
      </c>
      <c r="C62" s="184" t="s">
        <v>75</v>
      </c>
      <c r="D62" s="184" t="s">
        <v>76</v>
      </c>
      <c r="E62" s="213" t="s">
        <v>165</v>
      </c>
      <c r="F62" s="181"/>
      <c r="G62" s="160" t="s">
        <v>78</v>
      </c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2"/>
    </row>
    <row r="63" spans="1:20" ht="100.5" customHeight="1" x14ac:dyDescent="0.2">
      <c r="A63" s="212"/>
      <c r="B63" s="212"/>
      <c r="C63" s="212"/>
      <c r="D63" s="212"/>
      <c r="E63" s="214"/>
      <c r="F63" s="215"/>
      <c r="G63" s="91" t="s">
        <v>42</v>
      </c>
      <c r="H63" s="91" t="s">
        <v>43</v>
      </c>
      <c r="I63" s="91" t="s">
        <v>44</v>
      </c>
      <c r="J63" s="91" t="s">
        <v>45</v>
      </c>
      <c r="K63" s="91" t="s">
        <v>46</v>
      </c>
      <c r="L63" s="91" t="s">
        <v>47</v>
      </c>
      <c r="M63" s="91" t="s">
        <v>48</v>
      </c>
      <c r="N63" s="91" t="s">
        <v>49</v>
      </c>
      <c r="O63" s="91" t="s">
        <v>50</v>
      </c>
      <c r="P63" s="91" t="s">
        <v>51</v>
      </c>
      <c r="Q63" s="121" t="s">
        <v>184</v>
      </c>
      <c r="R63" s="91" t="s">
        <v>53</v>
      </c>
      <c r="S63" s="92" t="s">
        <v>79</v>
      </c>
      <c r="T63" s="93" t="s">
        <v>54</v>
      </c>
    </row>
    <row r="64" spans="1:20" ht="18" customHeight="1" x14ac:dyDescent="0.2">
      <c r="A64" s="111">
        <v>1</v>
      </c>
      <c r="B64" s="2" t="s">
        <v>96</v>
      </c>
      <c r="C64" s="29">
        <v>1231</v>
      </c>
      <c r="D64" s="30" t="s">
        <v>97</v>
      </c>
      <c r="E64" s="186">
        <v>1249</v>
      </c>
      <c r="F64" s="209"/>
      <c r="G64" s="112">
        <v>0</v>
      </c>
      <c r="H64" s="112">
        <v>0</v>
      </c>
      <c r="I64" s="105">
        <v>136</v>
      </c>
      <c r="J64" s="113">
        <v>0</v>
      </c>
      <c r="K64" s="113">
        <v>0</v>
      </c>
      <c r="L64" s="113">
        <v>0</v>
      </c>
      <c r="M64" s="113">
        <v>0</v>
      </c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22">
        <v>0</v>
      </c>
      <c r="T64" s="113">
        <v>0</v>
      </c>
    </row>
    <row r="65" spans="1:22" ht="18" customHeight="1" x14ac:dyDescent="0.2">
      <c r="A65" s="111">
        <v>2</v>
      </c>
      <c r="B65" s="2" t="s">
        <v>101</v>
      </c>
      <c r="C65" s="30" t="s">
        <v>102</v>
      </c>
      <c r="D65" s="30" t="s">
        <v>103</v>
      </c>
      <c r="E65" s="186">
        <v>742</v>
      </c>
      <c r="F65" s="187"/>
      <c r="G65" s="104">
        <v>0</v>
      </c>
      <c r="H65" s="104">
        <v>0</v>
      </c>
      <c r="I65" s="105">
        <v>57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123">
        <v>0</v>
      </c>
      <c r="T65" s="94">
        <v>0</v>
      </c>
    </row>
    <row r="66" spans="1:22" ht="18" customHeight="1" x14ac:dyDescent="0.2">
      <c r="A66" s="111">
        <v>3</v>
      </c>
      <c r="B66" s="2" t="s">
        <v>98</v>
      </c>
      <c r="C66" s="30" t="s">
        <v>99</v>
      </c>
      <c r="D66" s="30" t="s">
        <v>100</v>
      </c>
      <c r="E66" s="186">
        <v>3866</v>
      </c>
      <c r="F66" s="187"/>
      <c r="G66" s="104">
        <v>50</v>
      </c>
      <c r="H66" s="104">
        <v>0</v>
      </c>
      <c r="I66" s="105">
        <v>343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123">
        <v>0</v>
      </c>
      <c r="T66" s="94">
        <v>0</v>
      </c>
    </row>
    <row r="67" spans="1:22" x14ac:dyDescent="0.2">
      <c r="A67" s="111">
        <v>4</v>
      </c>
      <c r="B67" s="109" t="s">
        <v>80</v>
      </c>
      <c r="C67" s="110">
        <v>3163</v>
      </c>
      <c r="D67" s="108" t="s">
        <v>83</v>
      </c>
      <c r="E67" s="210">
        <v>2845</v>
      </c>
      <c r="F67" s="211"/>
      <c r="G67" s="103">
        <v>394</v>
      </c>
      <c r="H67" s="104">
        <v>0</v>
      </c>
      <c r="I67" s="10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2</v>
      </c>
      <c r="R67" s="94">
        <v>0</v>
      </c>
      <c r="S67" s="123">
        <v>0</v>
      </c>
      <c r="T67" s="94">
        <v>0</v>
      </c>
      <c r="U67" s="46"/>
    </row>
    <row r="68" spans="1:22" x14ac:dyDescent="0.2">
      <c r="A68" s="111">
        <v>5</v>
      </c>
      <c r="B68" s="2" t="s">
        <v>80</v>
      </c>
      <c r="C68" s="29">
        <v>3163</v>
      </c>
      <c r="D68" s="30" t="s">
        <v>84</v>
      </c>
      <c r="E68" s="186">
        <v>1212</v>
      </c>
      <c r="F68" s="187"/>
      <c r="G68" s="97">
        <v>180</v>
      </c>
      <c r="H68" s="104">
        <v>0</v>
      </c>
      <c r="I68" s="104">
        <v>0</v>
      </c>
      <c r="J68" s="94">
        <v>0</v>
      </c>
      <c r="K68" s="94">
        <v>0</v>
      </c>
      <c r="L68" s="94">
        <v>0</v>
      </c>
      <c r="M68" s="94">
        <v>3</v>
      </c>
      <c r="N68" s="94">
        <v>0</v>
      </c>
      <c r="O68" s="94">
        <v>0</v>
      </c>
      <c r="P68" s="94">
        <v>0</v>
      </c>
      <c r="Q68" s="94">
        <v>2</v>
      </c>
      <c r="R68" s="94">
        <v>0.5</v>
      </c>
      <c r="S68" s="123">
        <v>0</v>
      </c>
      <c r="T68" s="94">
        <v>0</v>
      </c>
      <c r="U68" s="46"/>
    </row>
    <row r="69" spans="1:22" x14ac:dyDescent="0.2">
      <c r="A69" s="111">
        <v>6</v>
      </c>
      <c r="B69" s="2" t="s">
        <v>80</v>
      </c>
      <c r="C69" s="29">
        <v>3163</v>
      </c>
      <c r="D69" s="30" t="s">
        <v>85</v>
      </c>
      <c r="E69" s="186">
        <v>696</v>
      </c>
      <c r="F69" s="187"/>
      <c r="G69" s="97">
        <v>100</v>
      </c>
      <c r="H69" s="104">
        <v>0</v>
      </c>
      <c r="I69" s="104">
        <v>0</v>
      </c>
      <c r="J69" s="94">
        <v>0</v>
      </c>
      <c r="K69" s="94">
        <v>0</v>
      </c>
      <c r="L69" s="94">
        <v>0</v>
      </c>
      <c r="M69" s="94">
        <v>2</v>
      </c>
      <c r="N69" s="94">
        <v>0</v>
      </c>
      <c r="O69" s="94">
        <v>0</v>
      </c>
      <c r="P69" s="94">
        <v>0</v>
      </c>
      <c r="Q69" s="94">
        <v>0</v>
      </c>
      <c r="R69" s="94">
        <v>0.4</v>
      </c>
      <c r="S69" s="123">
        <v>0</v>
      </c>
      <c r="T69" s="94">
        <v>0</v>
      </c>
      <c r="U69" s="46"/>
    </row>
    <row r="70" spans="1:22" x14ac:dyDescent="0.2">
      <c r="A70" s="111">
        <v>7</v>
      </c>
      <c r="B70" s="2" t="s">
        <v>80</v>
      </c>
      <c r="C70" s="29">
        <v>3163</v>
      </c>
      <c r="D70" s="30" t="s">
        <v>82</v>
      </c>
      <c r="E70" s="186">
        <v>2187</v>
      </c>
      <c r="F70" s="187"/>
      <c r="G70" s="97">
        <v>301</v>
      </c>
      <c r="H70" s="104">
        <v>0</v>
      </c>
      <c r="I70" s="104">
        <v>0</v>
      </c>
      <c r="J70" s="94">
        <v>0</v>
      </c>
      <c r="K70" s="94">
        <v>0</v>
      </c>
      <c r="L70" s="94">
        <v>0</v>
      </c>
      <c r="M70" s="94">
        <v>4</v>
      </c>
      <c r="N70" s="94">
        <v>0</v>
      </c>
      <c r="O70" s="94">
        <v>0</v>
      </c>
      <c r="P70" s="94">
        <v>0</v>
      </c>
      <c r="Q70" s="94">
        <v>2</v>
      </c>
      <c r="R70" s="94">
        <v>0</v>
      </c>
      <c r="S70" s="123">
        <v>0</v>
      </c>
      <c r="T70" s="94">
        <v>0</v>
      </c>
      <c r="U70" s="46"/>
    </row>
    <row r="71" spans="1:22" x14ac:dyDescent="0.2">
      <c r="A71" s="111">
        <v>8</v>
      </c>
      <c r="B71" s="2" t="s">
        <v>80</v>
      </c>
      <c r="C71" s="29">
        <v>39094</v>
      </c>
      <c r="D71" s="114" t="s">
        <v>166</v>
      </c>
      <c r="E71" s="186">
        <v>0</v>
      </c>
      <c r="F71" s="187"/>
      <c r="G71" s="97">
        <v>0</v>
      </c>
      <c r="H71" s="104">
        <v>0</v>
      </c>
      <c r="I71" s="104">
        <v>0</v>
      </c>
      <c r="J71" s="94">
        <v>0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123">
        <v>0</v>
      </c>
      <c r="T71" s="94">
        <v>0</v>
      </c>
      <c r="U71" s="46"/>
    </row>
    <row r="72" spans="1:22" ht="15.75" customHeight="1" x14ac:dyDescent="0.2">
      <c r="A72" s="111">
        <v>9</v>
      </c>
      <c r="B72" s="2" t="s">
        <v>80</v>
      </c>
      <c r="C72" s="29">
        <v>374195</v>
      </c>
      <c r="D72" s="30" t="s">
        <v>81</v>
      </c>
      <c r="E72" s="186">
        <v>1200</v>
      </c>
      <c r="F72" s="187"/>
      <c r="G72" s="103">
        <v>188</v>
      </c>
      <c r="H72" s="104">
        <v>0</v>
      </c>
      <c r="I72" s="104">
        <v>0</v>
      </c>
      <c r="J72" s="94">
        <v>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123">
        <v>0</v>
      </c>
      <c r="T72" s="94">
        <v>0</v>
      </c>
      <c r="U72" s="46"/>
    </row>
    <row r="73" spans="1:22" x14ac:dyDescent="0.2">
      <c r="A73" s="111">
        <v>10</v>
      </c>
      <c r="B73" s="2" t="s">
        <v>80</v>
      </c>
      <c r="C73" s="29">
        <v>31519</v>
      </c>
      <c r="D73" s="30" t="s">
        <v>87</v>
      </c>
      <c r="E73" s="186">
        <v>3049</v>
      </c>
      <c r="F73" s="187"/>
      <c r="G73" s="97">
        <v>457</v>
      </c>
      <c r="H73" s="104">
        <v>0</v>
      </c>
      <c r="I73" s="94">
        <v>0</v>
      </c>
      <c r="J73" s="94">
        <v>3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123">
        <v>0</v>
      </c>
      <c r="T73" s="94">
        <v>0</v>
      </c>
      <c r="U73" s="46"/>
    </row>
    <row r="74" spans="1:22" x14ac:dyDescent="0.2">
      <c r="A74" s="111">
        <v>11</v>
      </c>
      <c r="B74" s="2" t="s">
        <v>88</v>
      </c>
      <c r="C74" s="29">
        <v>3302</v>
      </c>
      <c r="D74" s="30" t="s">
        <v>89</v>
      </c>
      <c r="E74" s="186">
        <v>0</v>
      </c>
      <c r="F74" s="187"/>
      <c r="G74" s="97">
        <v>0</v>
      </c>
      <c r="H74" s="104">
        <v>0</v>
      </c>
      <c r="I74" s="104">
        <v>0</v>
      </c>
      <c r="J74" s="94">
        <v>0</v>
      </c>
      <c r="K74" s="94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123">
        <v>0</v>
      </c>
      <c r="T74" s="94">
        <v>0</v>
      </c>
      <c r="U74" s="46"/>
    </row>
    <row r="75" spans="1:22" x14ac:dyDescent="0.2">
      <c r="A75" s="111">
        <v>12</v>
      </c>
      <c r="B75" s="2" t="s">
        <v>90</v>
      </c>
      <c r="C75" s="30" t="s">
        <v>91</v>
      </c>
      <c r="D75" s="30" t="s">
        <v>92</v>
      </c>
      <c r="E75" s="186">
        <v>1252</v>
      </c>
      <c r="F75" s="187"/>
      <c r="G75" s="97">
        <v>768</v>
      </c>
      <c r="H75" s="104">
        <v>0</v>
      </c>
      <c r="I75" s="94">
        <v>0</v>
      </c>
      <c r="J75" s="94">
        <v>14.5</v>
      </c>
      <c r="K75" s="94">
        <v>0</v>
      </c>
      <c r="L75" s="94">
        <v>0</v>
      </c>
      <c r="M75" s="94">
        <v>0</v>
      </c>
      <c r="N75" s="94">
        <v>0</v>
      </c>
      <c r="O75" s="94">
        <v>0</v>
      </c>
      <c r="P75" s="94">
        <v>3</v>
      </c>
      <c r="Q75" s="94">
        <v>0</v>
      </c>
      <c r="R75" s="94">
        <v>0</v>
      </c>
      <c r="S75" s="123">
        <v>0.5</v>
      </c>
      <c r="T75" s="94">
        <v>0</v>
      </c>
      <c r="U75" s="46"/>
    </row>
    <row r="76" spans="1:22" x14ac:dyDescent="0.2">
      <c r="A76" s="111">
        <v>13</v>
      </c>
      <c r="B76" s="2" t="s">
        <v>90</v>
      </c>
      <c r="C76" s="29">
        <v>431410</v>
      </c>
      <c r="D76" s="30" t="s">
        <v>93</v>
      </c>
      <c r="E76" s="186">
        <v>3296</v>
      </c>
      <c r="F76" s="187"/>
      <c r="G76" s="97">
        <v>1030</v>
      </c>
      <c r="H76" s="104">
        <v>0</v>
      </c>
      <c r="I76" s="94">
        <v>0</v>
      </c>
      <c r="J76" s="94">
        <v>2</v>
      </c>
      <c r="K76" s="94">
        <v>0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0</v>
      </c>
      <c r="S76" s="123">
        <v>0</v>
      </c>
      <c r="T76" s="94">
        <v>0</v>
      </c>
      <c r="U76" s="46"/>
    </row>
    <row r="77" spans="1:22" x14ac:dyDescent="0.2">
      <c r="A77" s="111">
        <v>14</v>
      </c>
      <c r="B77" s="2" t="s">
        <v>90</v>
      </c>
      <c r="C77" s="29">
        <v>131</v>
      </c>
      <c r="D77" s="30" t="s">
        <v>94</v>
      </c>
      <c r="E77" s="186">
        <v>381</v>
      </c>
      <c r="F77" s="187"/>
      <c r="G77" s="97">
        <v>151</v>
      </c>
      <c r="H77" s="104">
        <v>0</v>
      </c>
      <c r="I77" s="104">
        <v>0</v>
      </c>
      <c r="J77" s="94">
        <v>0</v>
      </c>
      <c r="K77" s="94">
        <v>0</v>
      </c>
      <c r="L77" s="94">
        <v>0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0</v>
      </c>
      <c r="S77" s="123">
        <v>0</v>
      </c>
      <c r="T77" s="94">
        <v>0</v>
      </c>
      <c r="U77" s="46"/>
    </row>
    <row r="78" spans="1:22" x14ac:dyDescent="0.2">
      <c r="A78" s="111">
        <v>15</v>
      </c>
      <c r="B78" s="2" t="s">
        <v>90</v>
      </c>
      <c r="C78" s="29">
        <v>131</v>
      </c>
      <c r="D78" s="30" t="s">
        <v>95</v>
      </c>
      <c r="E78" s="186">
        <v>306</v>
      </c>
      <c r="F78" s="187"/>
      <c r="G78" s="97">
        <v>122</v>
      </c>
      <c r="H78" s="104">
        <v>0</v>
      </c>
      <c r="I78" s="104">
        <v>0</v>
      </c>
      <c r="J78" s="86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123">
        <v>0</v>
      </c>
      <c r="T78" s="94">
        <v>0</v>
      </c>
      <c r="U78" s="46"/>
    </row>
    <row r="79" spans="1:22" x14ac:dyDescent="0.25">
      <c r="A79" s="111">
        <v>16</v>
      </c>
      <c r="B79" s="2" t="s">
        <v>88</v>
      </c>
      <c r="C79" s="29">
        <v>66</v>
      </c>
      <c r="D79" s="30" t="s">
        <v>125</v>
      </c>
      <c r="E79" s="151">
        <v>0</v>
      </c>
      <c r="F79" s="152"/>
      <c r="G79" s="104">
        <v>0</v>
      </c>
      <c r="H79" s="104">
        <v>0</v>
      </c>
      <c r="I79" s="104">
        <v>0</v>
      </c>
      <c r="J79" s="94"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123">
        <v>0</v>
      </c>
      <c r="T79" s="94">
        <v>0</v>
      </c>
      <c r="U79" s="46"/>
      <c r="V79" s="31"/>
    </row>
    <row r="80" spans="1:22" x14ac:dyDescent="0.25">
      <c r="A80" s="111">
        <v>17</v>
      </c>
      <c r="B80" s="2" t="s">
        <v>88</v>
      </c>
      <c r="C80" s="29">
        <v>66</v>
      </c>
      <c r="D80" s="30" t="s">
        <v>126</v>
      </c>
      <c r="E80" s="151">
        <v>0</v>
      </c>
      <c r="F80" s="152"/>
      <c r="G80" s="104">
        <v>0</v>
      </c>
      <c r="H80" s="104">
        <v>0</v>
      </c>
      <c r="I80" s="10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123">
        <v>0</v>
      </c>
      <c r="T80" s="94">
        <v>0</v>
      </c>
      <c r="U80" s="46"/>
      <c r="V80" s="31"/>
    </row>
    <row r="81" spans="1:22" ht="17.850000000000001" customHeight="1" x14ac:dyDescent="0.25">
      <c r="A81" s="111">
        <v>18</v>
      </c>
      <c r="B81" s="2" t="s">
        <v>88</v>
      </c>
      <c r="C81" s="29">
        <v>32213</v>
      </c>
      <c r="D81" s="30" t="s">
        <v>127</v>
      </c>
      <c r="E81" s="151">
        <v>0</v>
      </c>
      <c r="F81" s="152"/>
      <c r="G81" s="104">
        <v>0</v>
      </c>
      <c r="H81" s="104">
        <v>0</v>
      </c>
      <c r="I81" s="10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123">
        <v>0</v>
      </c>
      <c r="T81" s="94">
        <v>0</v>
      </c>
      <c r="U81" s="46"/>
      <c r="V81" s="31"/>
    </row>
    <row r="82" spans="1:22" ht="16.5" customHeight="1" x14ac:dyDescent="0.2">
      <c r="A82" s="111">
        <v>19</v>
      </c>
      <c r="B82" s="2" t="s">
        <v>90</v>
      </c>
      <c r="C82" s="29">
        <v>131</v>
      </c>
      <c r="D82" s="30" t="s">
        <v>128</v>
      </c>
      <c r="E82" s="151">
        <v>0</v>
      </c>
      <c r="F82" s="152"/>
      <c r="G82" s="104">
        <v>0</v>
      </c>
      <c r="H82" s="104">
        <v>0</v>
      </c>
      <c r="I82" s="104">
        <v>0</v>
      </c>
      <c r="J82" s="94">
        <v>0</v>
      </c>
      <c r="K82" s="94">
        <v>0</v>
      </c>
      <c r="L82" s="94">
        <v>0</v>
      </c>
      <c r="M82" s="94">
        <v>0</v>
      </c>
      <c r="N82" s="94">
        <v>0</v>
      </c>
      <c r="O82" s="94">
        <v>0</v>
      </c>
      <c r="P82" s="94">
        <v>0</v>
      </c>
      <c r="Q82" s="94">
        <v>0</v>
      </c>
      <c r="R82" s="94">
        <v>0</v>
      </c>
      <c r="S82" s="123">
        <v>0</v>
      </c>
      <c r="T82" s="94">
        <v>0</v>
      </c>
      <c r="U82" s="46"/>
      <c r="V82" s="13"/>
    </row>
    <row r="83" spans="1:22" ht="16.5" customHeight="1" x14ac:dyDescent="0.2">
      <c r="A83" s="111">
        <v>20</v>
      </c>
      <c r="B83" s="116" t="s">
        <v>169</v>
      </c>
      <c r="C83" s="115">
        <v>3302</v>
      </c>
      <c r="D83" s="115" t="s">
        <v>170</v>
      </c>
      <c r="E83" s="151">
        <v>23</v>
      </c>
      <c r="F83" s="152"/>
      <c r="G83" s="104">
        <v>4</v>
      </c>
      <c r="H83" s="104">
        <v>0</v>
      </c>
      <c r="I83" s="104">
        <v>0</v>
      </c>
      <c r="J83" s="94">
        <v>0</v>
      </c>
      <c r="K83" s="94">
        <v>0</v>
      </c>
      <c r="L83" s="94">
        <v>0</v>
      </c>
      <c r="M83" s="94">
        <v>0</v>
      </c>
      <c r="N83" s="94">
        <v>0</v>
      </c>
      <c r="O83" s="94">
        <v>0</v>
      </c>
      <c r="P83" s="94">
        <v>0</v>
      </c>
      <c r="Q83" s="94">
        <v>0</v>
      </c>
      <c r="R83" s="94">
        <v>0</v>
      </c>
      <c r="S83" s="123">
        <v>0</v>
      </c>
      <c r="T83" s="94">
        <v>0</v>
      </c>
      <c r="U83" s="46"/>
      <c r="V83" s="13"/>
    </row>
    <row r="84" spans="1:22" ht="16.5" customHeight="1" x14ac:dyDescent="0.2">
      <c r="A84" s="111">
        <v>21</v>
      </c>
      <c r="B84" s="116" t="s">
        <v>169</v>
      </c>
      <c r="C84" s="115">
        <v>66</v>
      </c>
      <c r="D84" s="115" t="s">
        <v>171</v>
      </c>
      <c r="E84" s="151">
        <v>0</v>
      </c>
      <c r="F84" s="152"/>
      <c r="G84" s="104">
        <v>0</v>
      </c>
      <c r="H84" s="104">
        <v>0</v>
      </c>
      <c r="I84" s="104">
        <v>0</v>
      </c>
      <c r="J84" s="94">
        <v>0</v>
      </c>
      <c r="K84" s="94">
        <v>0</v>
      </c>
      <c r="L84" s="94">
        <v>0</v>
      </c>
      <c r="M84" s="94">
        <v>0</v>
      </c>
      <c r="N84" s="94">
        <v>0</v>
      </c>
      <c r="O84" s="94">
        <v>0</v>
      </c>
      <c r="P84" s="94">
        <v>0</v>
      </c>
      <c r="Q84" s="94">
        <v>0</v>
      </c>
      <c r="R84" s="94">
        <v>0</v>
      </c>
      <c r="S84" s="123">
        <v>0</v>
      </c>
      <c r="T84" s="94">
        <v>0</v>
      </c>
      <c r="U84" s="46"/>
      <c r="V84" s="13"/>
    </row>
    <row r="85" spans="1:22" ht="16.5" customHeight="1" x14ac:dyDescent="0.2">
      <c r="A85" s="111">
        <v>22</v>
      </c>
      <c r="B85" s="116" t="s">
        <v>167</v>
      </c>
      <c r="C85" s="115">
        <v>2206</v>
      </c>
      <c r="D85" s="115" t="s">
        <v>168</v>
      </c>
      <c r="E85" s="151">
        <v>0</v>
      </c>
      <c r="F85" s="152"/>
      <c r="G85" s="104">
        <v>0</v>
      </c>
      <c r="H85" s="104">
        <v>0</v>
      </c>
      <c r="I85" s="10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123">
        <v>0</v>
      </c>
      <c r="T85" s="94">
        <v>0</v>
      </c>
      <c r="U85" s="46"/>
      <c r="V85" s="13"/>
    </row>
    <row r="86" spans="1:22" ht="16.5" customHeight="1" x14ac:dyDescent="0.2">
      <c r="A86" s="111">
        <v>23</v>
      </c>
      <c r="B86" s="116" t="s">
        <v>167</v>
      </c>
      <c r="C86" s="115">
        <v>31519</v>
      </c>
      <c r="D86" s="115" t="s">
        <v>172</v>
      </c>
      <c r="E86" s="151">
        <v>812</v>
      </c>
      <c r="F86" s="152"/>
      <c r="G86" s="104">
        <v>123</v>
      </c>
      <c r="H86" s="104">
        <v>0</v>
      </c>
      <c r="I86" s="104">
        <v>0</v>
      </c>
      <c r="J86" s="94">
        <v>0</v>
      </c>
      <c r="K86" s="94">
        <v>0</v>
      </c>
      <c r="L86" s="94">
        <v>0</v>
      </c>
      <c r="M86" s="94">
        <v>0</v>
      </c>
      <c r="N86" s="94">
        <v>0</v>
      </c>
      <c r="O86" s="94">
        <v>0</v>
      </c>
      <c r="P86" s="94">
        <v>0</v>
      </c>
      <c r="Q86" s="94">
        <v>0</v>
      </c>
      <c r="R86" s="94">
        <v>0</v>
      </c>
      <c r="S86" s="123">
        <v>0.25</v>
      </c>
      <c r="T86" s="94">
        <v>0</v>
      </c>
      <c r="U86" s="46"/>
      <c r="V86" s="13"/>
    </row>
    <row r="87" spans="1:22" ht="16.5" customHeight="1" x14ac:dyDescent="0.2">
      <c r="A87" s="111">
        <v>24</v>
      </c>
      <c r="B87" s="116" t="s">
        <v>173</v>
      </c>
      <c r="C87" s="115">
        <v>131</v>
      </c>
      <c r="D87" s="115" t="s">
        <v>174</v>
      </c>
      <c r="E87" s="151">
        <v>0</v>
      </c>
      <c r="F87" s="152"/>
      <c r="G87" s="104">
        <v>0</v>
      </c>
      <c r="H87" s="104">
        <v>0</v>
      </c>
      <c r="I87" s="10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123">
        <v>0</v>
      </c>
      <c r="T87" s="94">
        <v>0</v>
      </c>
      <c r="U87" s="46"/>
      <c r="V87" s="13"/>
    </row>
    <row r="88" spans="1:22" ht="16.5" customHeight="1" x14ac:dyDescent="0.2">
      <c r="A88" s="111">
        <v>25</v>
      </c>
      <c r="B88" s="116" t="s">
        <v>167</v>
      </c>
      <c r="C88" s="120">
        <v>3909</v>
      </c>
      <c r="D88" s="120" t="s">
        <v>190</v>
      </c>
      <c r="E88" s="151">
        <v>1306</v>
      </c>
      <c r="F88" s="152"/>
      <c r="G88" s="104">
        <v>227</v>
      </c>
      <c r="H88" s="104">
        <v>0</v>
      </c>
      <c r="I88" s="104">
        <v>0</v>
      </c>
      <c r="J88" s="94">
        <v>3</v>
      </c>
      <c r="K88" s="94">
        <v>0</v>
      </c>
      <c r="L88" s="94">
        <v>0</v>
      </c>
      <c r="M88" s="94">
        <v>0</v>
      </c>
      <c r="N88" s="94">
        <v>0</v>
      </c>
      <c r="O88" s="94">
        <v>0</v>
      </c>
      <c r="P88" s="94">
        <v>0</v>
      </c>
      <c r="Q88" s="94">
        <v>0</v>
      </c>
      <c r="R88" s="94">
        <v>0</v>
      </c>
      <c r="S88" s="123">
        <v>0</v>
      </c>
      <c r="T88" s="94">
        <v>0</v>
      </c>
      <c r="U88" s="46"/>
      <c r="V88" s="13"/>
    </row>
    <row r="89" spans="1:22" x14ac:dyDescent="0.2">
      <c r="A89" s="111">
        <v>26</v>
      </c>
      <c r="B89" s="116" t="s">
        <v>173</v>
      </c>
      <c r="C89" s="29">
        <v>4320</v>
      </c>
      <c r="D89" s="30" t="s">
        <v>105</v>
      </c>
      <c r="E89" s="151">
        <v>164</v>
      </c>
      <c r="F89" s="152"/>
      <c r="G89" s="104">
        <v>0</v>
      </c>
      <c r="H89" s="104">
        <v>92</v>
      </c>
      <c r="I89" s="104">
        <v>0</v>
      </c>
      <c r="J89" s="94">
        <v>0</v>
      </c>
      <c r="K89" s="94">
        <v>3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123">
        <v>0</v>
      </c>
      <c r="T89" s="94">
        <v>0</v>
      </c>
      <c r="U89" s="46"/>
    </row>
    <row r="90" spans="1:22" x14ac:dyDescent="0.2">
      <c r="A90" s="111">
        <v>27</v>
      </c>
      <c r="B90" s="2" t="s">
        <v>80</v>
      </c>
      <c r="C90" s="29">
        <v>315148</v>
      </c>
      <c r="D90" s="30" t="s">
        <v>106</v>
      </c>
      <c r="E90" s="151">
        <v>0</v>
      </c>
      <c r="F90" s="152"/>
      <c r="G90" s="104">
        <v>0</v>
      </c>
      <c r="H90" s="104">
        <v>0</v>
      </c>
      <c r="I90" s="104">
        <v>0</v>
      </c>
      <c r="J90" s="94">
        <v>0</v>
      </c>
      <c r="K90" s="94">
        <v>0</v>
      </c>
      <c r="L90" s="94">
        <v>0</v>
      </c>
      <c r="M90" s="94">
        <v>0</v>
      </c>
      <c r="N90" s="94">
        <v>0</v>
      </c>
      <c r="O90" s="94">
        <v>0</v>
      </c>
      <c r="P90" s="94">
        <v>0</v>
      </c>
      <c r="Q90" s="94">
        <v>0</v>
      </c>
      <c r="R90" s="94">
        <v>0</v>
      </c>
      <c r="S90" s="123">
        <v>0</v>
      </c>
      <c r="T90" s="94">
        <v>0</v>
      </c>
      <c r="U90" s="46"/>
    </row>
    <row r="91" spans="1:22" x14ac:dyDescent="0.2">
      <c r="A91" s="111">
        <v>28</v>
      </c>
      <c r="B91" s="2" t="s">
        <v>107</v>
      </c>
      <c r="C91" s="30" t="s">
        <v>108</v>
      </c>
      <c r="D91" s="30" t="s">
        <v>109</v>
      </c>
      <c r="E91" s="186">
        <v>997</v>
      </c>
      <c r="F91" s="187"/>
      <c r="G91" s="104">
        <v>0</v>
      </c>
      <c r="H91" s="97">
        <v>415</v>
      </c>
      <c r="I91" s="104">
        <v>0</v>
      </c>
      <c r="J91" s="94">
        <v>0</v>
      </c>
      <c r="K91" s="94">
        <v>0</v>
      </c>
      <c r="L91" s="94">
        <v>0</v>
      </c>
      <c r="M91" s="94">
        <v>0</v>
      </c>
      <c r="N91" s="94">
        <v>0</v>
      </c>
      <c r="O91" s="94">
        <v>0</v>
      </c>
      <c r="P91" s="94">
        <v>0</v>
      </c>
      <c r="Q91" s="94">
        <v>0</v>
      </c>
      <c r="R91" s="94">
        <v>0</v>
      </c>
      <c r="S91" s="123">
        <v>0</v>
      </c>
      <c r="T91" s="94">
        <v>20.8</v>
      </c>
      <c r="U91" s="46"/>
    </row>
    <row r="92" spans="1:22" x14ac:dyDescent="0.2">
      <c r="A92" s="111">
        <v>29</v>
      </c>
      <c r="B92" s="2" t="s">
        <v>107</v>
      </c>
      <c r="C92" s="30" t="s">
        <v>110</v>
      </c>
      <c r="D92" s="30" t="s">
        <v>111</v>
      </c>
      <c r="E92" s="186">
        <v>0</v>
      </c>
      <c r="F92" s="187"/>
      <c r="G92" s="104">
        <v>0</v>
      </c>
      <c r="H92" s="97">
        <v>0</v>
      </c>
      <c r="I92" s="10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123">
        <v>0</v>
      </c>
      <c r="T92" s="94">
        <v>0</v>
      </c>
      <c r="U92" s="46"/>
    </row>
    <row r="93" spans="1:22" x14ac:dyDescent="0.2">
      <c r="A93" s="111">
        <v>30</v>
      </c>
      <c r="B93" s="2" t="s">
        <v>107</v>
      </c>
      <c r="C93" s="30" t="s">
        <v>112</v>
      </c>
      <c r="D93" s="30" t="s">
        <v>113</v>
      </c>
      <c r="E93" s="186">
        <v>2085</v>
      </c>
      <c r="F93" s="187"/>
      <c r="G93" s="104">
        <v>0</v>
      </c>
      <c r="H93" s="97">
        <v>935</v>
      </c>
      <c r="I93" s="104">
        <v>0</v>
      </c>
      <c r="J93" s="94">
        <v>0</v>
      </c>
      <c r="K93" s="94">
        <v>0</v>
      </c>
      <c r="L93" s="94">
        <v>0</v>
      </c>
      <c r="M93" s="94">
        <v>0</v>
      </c>
      <c r="N93" s="94">
        <v>0</v>
      </c>
      <c r="O93" s="94">
        <v>0</v>
      </c>
      <c r="P93" s="94">
        <v>0</v>
      </c>
      <c r="Q93" s="94">
        <v>0</v>
      </c>
      <c r="R93" s="94">
        <v>0</v>
      </c>
      <c r="S93" s="123">
        <v>0</v>
      </c>
      <c r="T93" s="94">
        <v>0</v>
      </c>
      <c r="U93" s="46"/>
    </row>
    <row r="94" spans="1:22" x14ac:dyDescent="0.2">
      <c r="A94" s="111">
        <v>31</v>
      </c>
      <c r="B94" s="2" t="s">
        <v>107</v>
      </c>
      <c r="C94" s="29">
        <v>437143</v>
      </c>
      <c r="D94" s="114" t="s">
        <v>175</v>
      </c>
      <c r="E94" s="186">
        <v>2643</v>
      </c>
      <c r="F94" s="187"/>
      <c r="G94" s="104">
        <v>0</v>
      </c>
      <c r="H94" s="97">
        <v>586</v>
      </c>
      <c r="I94" s="104">
        <v>0</v>
      </c>
      <c r="J94" s="94">
        <v>0</v>
      </c>
      <c r="K94" s="94">
        <v>0</v>
      </c>
      <c r="L94" s="94">
        <v>0</v>
      </c>
      <c r="M94" s="94">
        <v>0</v>
      </c>
      <c r="N94" s="94">
        <v>0</v>
      </c>
      <c r="O94" s="94">
        <v>0</v>
      </c>
      <c r="P94" s="94">
        <v>1.5</v>
      </c>
      <c r="Q94" s="94">
        <v>0</v>
      </c>
      <c r="R94" s="94">
        <v>0</v>
      </c>
      <c r="S94" s="123">
        <v>0.25</v>
      </c>
      <c r="T94" s="94">
        <v>0</v>
      </c>
      <c r="U94" s="46"/>
    </row>
    <row r="95" spans="1:22" x14ac:dyDescent="0.2">
      <c r="A95" s="111">
        <v>32</v>
      </c>
      <c r="B95" s="2" t="s">
        <v>88</v>
      </c>
      <c r="C95" s="30" t="s">
        <v>115</v>
      </c>
      <c r="D95" s="30" t="s">
        <v>116</v>
      </c>
      <c r="E95" s="186">
        <v>3772</v>
      </c>
      <c r="F95" s="187"/>
      <c r="G95" s="104">
        <v>0</v>
      </c>
      <c r="H95" s="97">
        <v>488</v>
      </c>
      <c r="I95" s="10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0.5</v>
      </c>
      <c r="P95" s="94">
        <v>0</v>
      </c>
      <c r="Q95" s="94">
        <v>0</v>
      </c>
      <c r="R95" s="94">
        <v>0</v>
      </c>
      <c r="S95" s="123">
        <v>0</v>
      </c>
      <c r="T95" s="94">
        <v>0</v>
      </c>
      <c r="U95" s="46"/>
    </row>
    <row r="96" spans="1:22" x14ac:dyDescent="0.2">
      <c r="A96" s="111">
        <v>33</v>
      </c>
      <c r="B96" s="2" t="s">
        <v>107</v>
      </c>
      <c r="C96" s="29">
        <v>5551</v>
      </c>
      <c r="D96" s="30" t="s">
        <v>117</v>
      </c>
      <c r="E96" s="186">
        <v>197</v>
      </c>
      <c r="F96" s="187"/>
      <c r="G96" s="104">
        <v>0</v>
      </c>
      <c r="H96" s="104">
        <v>45</v>
      </c>
      <c r="I96" s="10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1.5</v>
      </c>
      <c r="Q96" s="94">
        <v>0</v>
      </c>
      <c r="R96" s="94">
        <v>0</v>
      </c>
      <c r="S96" s="123">
        <v>0</v>
      </c>
      <c r="T96" s="94">
        <v>0</v>
      </c>
      <c r="U96" s="46"/>
    </row>
    <row r="97" spans="1:22" ht="17.25" customHeight="1" x14ac:dyDescent="0.2">
      <c r="A97" s="111">
        <v>34</v>
      </c>
      <c r="B97" s="2" t="s">
        <v>107</v>
      </c>
      <c r="C97" s="29">
        <v>6303</v>
      </c>
      <c r="D97" s="30" t="s">
        <v>118</v>
      </c>
      <c r="E97" s="186">
        <v>5</v>
      </c>
      <c r="F97" s="187"/>
      <c r="G97" s="104">
        <v>0</v>
      </c>
      <c r="H97" s="97">
        <v>35</v>
      </c>
      <c r="I97" s="104">
        <v>0</v>
      </c>
      <c r="J97" s="94">
        <v>0</v>
      </c>
      <c r="K97" s="94">
        <v>0</v>
      </c>
      <c r="L97" s="94">
        <v>0</v>
      </c>
      <c r="M97" s="94">
        <v>0</v>
      </c>
      <c r="N97" s="94">
        <v>0</v>
      </c>
      <c r="O97" s="87">
        <v>0</v>
      </c>
      <c r="P97" s="94">
        <v>0</v>
      </c>
      <c r="Q97" s="94">
        <v>0</v>
      </c>
      <c r="R97" s="94">
        <v>0</v>
      </c>
      <c r="S97" s="123">
        <v>0</v>
      </c>
      <c r="T97" s="94">
        <v>0</v>
      </c>
      <c r="U97" s="46"/>
    </row>
    <row r="98" spans="1:22" x14ac:dyDescent="0.2">
      <c r="A98" s="111">
        <v>35</v>
      </c>
      <c r="B98" s="2" t="s">
        <v>119</v>
      </c>
      <c r="C98" s="29">
        <v>420224</v>
      </c>
      <c r="D98" s="30" t="s">
        <v>120</v>
      </c>
      <c r="E98" s="186">
        <v>3948</v>
      </c>
      <c r="F98" s="187"/>
      <c r="G98" s="104">
        <v>0</v>
      </c>
      <c r="H98" s="97">
        <v>659</v>
      </c>
      <c r="I98" s="104">
        <v>0</v>
      </c>
      <c r="J98" s="94">
        <v>0</v>
      </c>
      <c r="K98" s="94">
        <v>0</v>
      </c>
      <c r="L98" s="94">
        <v>0.4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123">
        <v>0</v>
      </c>
      <c r="T98" s="94">
        <v>0</v>
      </c>
      <c r="U98" s="46"/>
    </row>
    <row r="99" spans="1:22" x14ac:dyDescent="0.2">
      <c r="A99" s="111">
        <v>36</v>
      </c>
      <c r="B99" s="2" t="s">
        <v>88</v>
      </c>
      <c r="C99" s="29">
        <v>331041</v>
      </c>
      <c r="D99" s="30" t="s">
        <v>121</v>
      </c>
      <c r="E99" s="151">
        <v>3121</v>
      </c>
      <c r="F99" s="152"/>
      <c r="G99" s="104">
        <v>0</v>
      </c>
      <c r="H99" s="98">
        <v>491</v>
      </c>
      <c r="I99" s="104">
        <v>0</v>
      </c>
      <c r="J99" s="94">
        <v>0</v>
      </c>
      <c r="K99" s="94">
        <v>0</v>
      </c>
      <c r="L99" s="94">
        <v>0</v>
      </c>
      <c r="M99" s="94">
        <v>0</v>
      </c>
      <c r="N99" s="94">
        <v>0</v>
      </c>
      <c r="O99" s="94">
        <v>0</v>
      </c>
      <c r="P99" s="94">
        <v>2</v>
      </c>
      <c r="Q99" s="94">
        <v>0</v>
      </c>
      <c r="R99" s="94">
        <v>0</v>
      </c>
      <c r="S99" s="123">
        <v>0.25</v>
      </c>
      <c r="T99" s="94">
        <v>0</v>
      </c>
      <c r="U99" s="46"/>
    </row>
    <row r="100" spans="1:22" x14ac:dyDescent="0.25">
      <c r="A100" s="111">
        <v>37</v>
      </c>
      <c r="B100" s="2" t="s">
        <v>122</v>
      </c>
      <c r="C100" s="30" t="s">
        <v>123</v>
      </c>
      <c r="D100" s="30" t="s">
        <v>124</v>
      </c>
      <c r="E100" s="151">
        <v>0</v>
      </c>
      <c r="F100" s="152"/>
      <c r="G100" s="104">
        <v>0</v>
      </c>
      <c r="H100" s="98">
        <v>0</v>
      </c>
      <c r="I100" s="104">
        <v>0</v>
      </c>
      <c r="J100" s="94">
        <v>0</v>
      </c>
      <c r="K100" s="94">
        <v>0</v>
      </c>
      <c r="L100" s="94">
        <v>0</v>
      </c>
      <c r="M100" s="94">
        <v>0</v>
      </c>
      <c r="N100" s="94">
        <v>0</v>
      </c>
      <c r="O100" s="94">
        <v>0</v>
      </c>
      <c r="P100" s="94">
        <v>0</v>
      </c>
      <c r="Q100" s="94">
        <v>0</v>
      </c>
      <c r="R100" s="94">
        <v>0</v>
      </c>
      <c r="S100" s="123">
        <v>0</v>
      </c>
      <c r="T100" s="94">
        <v>0</v>
      </c>
      <c r="U100" s="46"/>
      <c r="V100" s="31"/>
    </row>
    <row r="101" spans="1:22" x14ac:dyDescent="0.25">
      <c r="A101" s="111">
        <v>38</v>
      </c>
      <c r="B101" s="2" t="s">
        <v>107</v>
      </c>
      <c r="C101" s="29">
        <v>437143</v>
      </c>
      <c r="D101" s="30" t="s">
        <v>176</v>
      </c>
      <c r="E101" s="151">
        <v>136</v>
      </c>
      <c r="F101" s="152"/>
      <c r="G101" s="104">
        <v>0</v>
      </c>
      <c r="H101" s="104">
        <v>32</v>
      </c>
      <c r="I101" s="10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123">
        <v>0</v>
      </c>
      <c r="T101" s="94">
        <v>0</v>
      </c>
      <c r="U101" s="46"/>
      <c r="V101" s="31"/>
    </row>
    <row r="102" spans="1:22" ht="17.25" customHeight="1" x14ac:dyDescent="0.2">
      <c r="A102" s="111">
        <v>39</v>
      </c>
      <c r="B102" s="116" t="s">
        <v>177</v>
      </c>
      <c r="C102" s="115" t="s">
        <v>178</v>
      </c>
      <c r="D102" s="115" t="s">
        <v>179</v>
      </c>
      <c r="E102" s="151">
        <v>0</v>
      </c>
      <c r="F102" s="152"/>
      <c r="G102" s="104">
        <v>0</v>
      </c>
      <c r="H102" s="104">
        <v>0</v>
      </c>
      <c r="I102" s="104">
        <v>0</v>
      </c>
      <c r="J102" s="94">
        <v>0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123">
        <v>0</v>
      </c>
      <c r="T102" s="94">
        <v>0</v>
      </c>
      <c r="U102" s="46"/>
      <c r="V102" s="32"/>
    </row>
    <row r="103" spans="1:22" ht="26.25" customHeight="1" x14ac:dyDescent="0.2">
      <c r="A103" s="157" t="s">
        <v>130</v>
      </c>
      <c r="B103" s="158"/>
      <c r="C103" s="158"/>
      <c r="D103" s="158"/>
      <c r="E103" s="158"/>
      <c r="F103" s="159"/>
      <c r="G103" s="96">
        <f>SUM(G64:G102)</f>
        <v>4095</v>
      </c>
      <c r="H103" s="96">
        <f t="shared" ref="H103:T103" si="17">SUM(H64:H102)</f>
        <v>3778</v>
      </c>
      <c r="I103" s="96">
        <f t="shared" si="17"/>
        <v>536</v>
      </c>
      <c r="J103" s="85">
        <f t="shared" si="17"/>
        <v>22.5</v>
      </c>
      <c r="K103" s="85">
        <f t="shared" si="17"/>
        <v>3</v>
      </c>
      <c r="L103" s="85">
        <f t="shared" si="17"/>
        <v>0.4</v>
      </c>
      <c r="M103" s="85">
        <f t="shared" si="17"/>
        <v>9</v>
      </c>
      <c r="N103" s="85">
        <f t="shared" si="17"/>
        <v>0</v>
      </c>
      <c r="O103" s="85">
        <f t="shared" si="17"/>
        <v>0.5</v>
      </c>
      <c r="P103" s="85">
        <f t="shared" si="17"/>
        <v>8</v>
      </c>
      <c r="Q103" s="85">
        <f t="shared" si="17"/>
        <v>6</v>
      </c>
      <c r="R103" s="85">
        <f t="shared" si="17"/>
        <v>0.9</v>
      </c>
      <c r="S103" s="124">
        <f t="shared" si="17"/>
        <v>1.25</v>
      </c>
      <c r="T103" s="85">
        <f t="shared" si="17"/>
        <v>20.8</v>
      </c>
      <c r="U103" s="13"/>
      <c r="V103" s="13"/>
    </row>
    <row r="104" spans="1:22" ht="53.25" customHeight="1" x14ac:dyDescent="0.2">
      <c r="A104" s="153" t="s">
        <v>131</v>
      </c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33"/>
      <c r="V104" s="33"/>
    </row>
    <row r="105" spans="1:22" ht="21.75" customHeight="1" x14ac:dyDescent="0.2">
      <c r="A105" s="154" t="s">
        <v>132</v>
      </c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</row>
    <row r="106" spans="1:22" ht="95.25" customHeight="1" x14ac:dyDescent="0.2">
      <c r="A106" s="155" t="s">
        <v>133</v>
      </c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4"/>
    </row>
    <row r="107" spans="1:22" ht="35.25" customHeight="1" x14ac:dyDescent="0.2">
      <c r="A107" s="156" t="s">
        <v>134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34"/>
      <c r="V107" s="34"/>
    </row>
  </sheetData>
  <mergeCells count="135">
    <mergeCell ref="M3:P3"/>
    <mergeCell ref="Q3:Q4"/>
    <mergeCell ref="R3:R4"/>
    <mergeCell ref="S3:S4"/>
    <mergeCell ref="T3:T4"/>
    <mergeCell ref="B5:E5"/>
    <mergeCell ref="A1:I1"/>
    <mergeCell ref="A2:I2"/>
    <mergeCell ref="J2:L2"/>
    <mergeCell ref="A3:A4"/>
    <mergeCell ref="B3:E4"/>
    <mergeCell ref="F3:F4"/>
    <mergeCell ref="G3:G4"/>
    <mergeCell ref="H3:H4"/>
    <mergeCell ref="I3:L3"/>
    <mergeCell ref="B20:E20"/>
    <mergeCell ref="B21:E21"/>
    <mergeCell ref="B22:E22"/>
    <mergeCell ref="B23:E23"/>
    <mergeCell ref="B24:E24"/>
    <mergeCell ref="B25:E25"/>
    <mergeCell ref="B6:E6"/>
    <mergeCell ref="B15:E15"/>
    <mergeCell ref="B16:E16"/>
    <mergeCell ref="B17:E17"/>
    <mergeCell ref="B18:E18"/>
    <mergeCell ref="B19:E19"/>
    <mergeCell ref="B33:E33"/>
    <mergeCell ref="A34:T34"/>
    <mergeCell ref="A35:A36"/>
    <mergeCell ref="B35:C36"/>
    <mergeCell ref="D35:D36"/>
    <mergeCell ref="E35:F36"/>
    <mergeCell ref="G35:T35"/>
    <mergeCell ref="B26:E26"/>
    <mergeCell ref="B28:E28"/>
    <mergeCell ref="B29:E29"/>
    <mergeCell ref="B30:E30"/>
    <mergeCell ref="B31:E31"/>
    <mergeCell ref="B32:E32"/>
    <mergeCell ref="B27:E27"/>
    <mergeCell ref="B41:C41"/>
    <mergeCell ref="E41:F41"/>
    <mergeCell ref="A42:F42"/>
    <mergeCell ref="B43:C43"/>
    <mergeCell ref="E43:F43"/>
    <mergeCell ref="B45:C45"/>
    <mergeCell ref="E45:F45"/>
    <mergeCell ref="B37:C37"/>
    <mergeCell ref="E37:F37"/>
    <mergeCell ref="B38:C38"/>
    <mergeCell ref="E38:F38"/>
    <mergeCell ref="E39:F39"/>
    <mergeCell ref="E40:F40"/>
    <mergeCell ref="B44:C44"/>
    <mergeCell ref="E44:F44"/>
    <mergeCell ref="B49:C49"/>
    <mergeCell ref="E49:F49"/>
    <mergeCell ref="A50:F50"/>
    <mergeCell ref="B51:C51"/>
    <mergeCell ref="E51:F51"/>
    <mergeCell ref="B52:C52"/>
    <mergeCell ref="E52:F52"/>
    <mergeCell ref="B46:C46"/>
    <mergeCell ref="E46:F46"/>
    <mergeCell ref="B47:C47"/>
    <mergeCell ref="E47:F47"/>
    <mergeCell ref="B48:C48"/>
    <mergeCell ref="E48:F48"/>
    <mergeCell ref="A58:F58"/>
    <mergeCell ref="A59:A60"/>
    <mergeCell ref="B59:C59"/>
    <mergeCell ref="E59:F59"/>
    <mergeCell ref="B60:C60"/>
    <mergeCell ref="E60:F60"/>
    <mergeCell ref="A53:F53"/>
    <mergeCell ref="B54:C54"/>
    <mergeCell ref="E54:F54"/>
    <mergeCell ref="A55:F55"/>
    <mergeCell ref="A56:A57"/>
    <mergeCell ref="B56:C56"/>
    <mergeCell ref="E56:F56"/>
    <mergeCell ref="B57:C57"/>
    <mergeCell ref="E57:F57"/>
    <mergeCell ref="G62:T62"/>
    <mergeCell ref="E67:F67"/>
    <mergeCell ref="E68:F68"/>
    <mergeCell ref="E69:F69"/>
    <mergeCell ref="E70:F70"/>
    <mergeCell ref="E71:F71"/>
    <mergeCell ref="A61:F61"/>
    <mergeCell ref="A62:A63"/>
    <mergeCell ref="B62:B63"/>
    <mergeCell ref="C62:C63"/>
    <mergeCell ref="D62:D63"/>
    <mergeCell ref="E62:F63"/>
    <mergeCell ref="E92:F92"/>
    <mergeCell ref="E93:F93"/>
    <mergeCell ref="E94:F94"/>
    <mergeCell ref="E95:F95"/>
    <mergeCell ref="E96:F96"/>
    <mergeCell ref="E78:F78"/>
    <mergeCell ref="E89:F89"/>
    <mergeCell ref="E90:F90"/>
    <mergeCell ref="E72:F72"/>
    <mergeCell ref="E73:F73"/>
    <mergeCell ref="E74:F74"/>
    <mergeCell ref="E75:F75"/>
    <mergeCell ref="E76:F76"/>
    <mergeCell ref="E77:F77"/>
    <mergeCell ref="E88:F88"/>
    <mergeCell ref="A106:T106"/>
    <mergeCell ref="A107:T107"/>
    <mergeCell ref="E64:F64"/>
    <mergeCell ref="E66:F66"/>
    <mergeCell ref="E65:F65"/>
    <mergeCell ref="E83:F83"/>
    <mergeCell ref="E84:F84"/>
    <mergeCell ref="E85:F85"/>
    <mergeCell ref="E86:F86"/>
    <mergeCell ref="E87:F87"/>
    <mergeCell ref="E81:F81"/>
    <mergeCell ref="E82:F82"/>
    <mergeCell ref="E102:F102"/>
    <mergeCell ref="A103:F103"/>
    <mergeCell ref="A104:T104"/>
    <mergeCell ref="A105:T105"/>
    <mergeCell ref="E101:F101"/>
    <mergeCell ref="E97:F97"/>
    <mergeCell ref="E98:F98"/>
    <mergeCell ref="E99:F99"/>
    <mergeCell ref="E100:F100"/>
    <mergeCell ref="E79:F79"/>
    <mergeCell ref="E80:F80"/>
    <mergeCell ref="E91:F91"/>
  </mergeCells>
  <phoneticPr fontId="3" type="noConversion"/>
  <pageMargins left="0.70866141732283472" right="0.70866141732283472" top="0.35433070866141736" bottom="0.35433070866141736" header="0.31496062992125984" footer="0.31496062992125984"/>
  <pageSetup paperSize="9" scale="55" fitToHeight="0" orientation="landscape" r:id="rId1"/>
  <rowBreaks count="2" manualBreakCount="2">
    <brk id="34" max="16383" man="1"/>
    <brk id="6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52" sqref="H52"/>
    </sheetView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52" sqref="I52"/>
    </sheetView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J52" sqref="J52"/>
    </sheetView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K50" sqref="K50"/>
    </sheetView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L52" sqref="L52:L53"/>
    </sheetView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M52" sqref="M52"/>
    </sheetView>
  </sheetViews>
  <sheetFormatPr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O52" sqref="O52"/>
    </sheetView>
  </sheetViews>
  <sheetFormatPr defaultRowHeight="12.7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Q50" sqref="Q50"/>
    </sheetView>
  </sheetViews>
  <sheetFormatPr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февраль</vt:lpstr>
      <vt:lpstr>январь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ДОНЕСЕНИЕ № _______</dc:title>
  <dc:creator>Рябцев</dc:creator>
  <cp:lastModifiedBy>Breaver</cp:lastModifiedBy>
  <cp:lastPrinted>2026-03-26T13:53:49Z</cp:lastPrinted>
  <dcterms:created xsi:type="dcterms:W3CDTF">2026-01-26T16:23:17Z</dcterms:created>
  <dcterms:modified xsi:type="dcterms:W3CDTF">2026-05-13T18:45:22Z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2026-01-26T00:00:00Z</vt:filetime>
  </property>
  <property fmtid="{D5CDD505-2E9C-101B-9397-08002B2CF9AE}" pid="3" name="Creator">
    <vt:lpwstr>Microsoft® Word для Microsoft 365</vt:lpwstr>
  </property>
  <property fmtid="{D5CDD505-2E9C-101B-9397-08002B2CF9AE}" pid="4" name="LastSaved">
    <vt:filetime>2026-01-26T00:00:00Z</vt:filetime>
  </property>
  <property fmtid="{D5CDD505-2E9C-101B-9397-08002B2CF9AE}" pid="5" name="Producer">
    <vt:lpwstr>Microsoft® Word для Microsoft 365</vt:lpwstr>
  </property>
</Properties>
</file>